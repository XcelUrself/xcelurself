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Accueil" sheetId="2" state="visible" r:id="rId2"/>
    <sheet xmlns:r="http://schemas.openxmlformats.org/officeDocument/2006/relationships" name="Menu" sheetId="3" state="visible" r:id="rId3"/>
    <sheet xmlns:r="http://schemas.openxmlformats.org/officeDocument/2006/relationships" name="D01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Aide" sheetId="6" state="visible" r:id="rId6"/>
    <sheet xmlns:r="http://schemas.openxmlformats.org/officeDocument/2006/relationships" name="Paramètres" sheetId="7" state="visible" r:id="rId7"/>
    <sheet xmlns:r="http://schemas.openxmlformats.org/officeDocument/2006/relationships" name="_ctl" sheetId="8" state="visible" r:id="rId8"/>
    <sheet xmlns:r="http://schemas.openxmlformats.org/officeDocument/2006/relationships" name="_ref" sheetId="9" state="veryHidden" r:id="rId9"/>
  </sheets>
  <definedNames>
    <definedName name="TauxTVA">'Paramètres'!$C$7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 / 6&quot;"/>
    <numFmt numFmtId="165" formatCode="#,##0.00 &quot;€&quot;"/>
    <numFmt numFmtId="166" formatCode="0.0%"/>
  </numFmts>
  <fonts count="5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 Display"/>
      <color rgb="00FFFFFF"/>
      <sz val="26"/>
    </font>
    <font>
      <name val="Aptos"/>
      <color rgb="00FFFFFF"/>
      <sz val="12"/>
    </font>
    <font>
      <name val="Aptos Display"/>
      <color rgb="0017222B"/>
      <sz val="14"/>
    </font>
    <font>
      <name val="Aptos"/>
      <b val="1"/>
      <color rgb="0011603F"/>
      <sz val="9"/>
    </font>
    <font>
      <name val="Aptos"/>
      <color rgb="0017222B"/>
      <sz val="12"/>
    </font>
    <font>
      <name val="Aptos"/>
      <b val="1"/>
      <color rgb="000B6B5D"/>
      <sz val="18"/>
    </font>
    <font>
      <name val="Aptos"/>
      <b val="1"/>
      <color rgb="004A5560"/>
      <sz val="10"/>
    </font>
    <font>
      <name val="Aptos Display"/>
      <color rgb="000B6B5D"/>
      <sz val="16"/>
    </font>
    <font>
      <name val="Aptos"/>
      <color rgb="004A5560"/>
      <sz val="11"/>
    </font>
    <font>
      <name val="Aptos"/>
      <b val="1"/>
      <color rgb="0017222B"/>
      <sz val="13"/>
    </font>
    <font>
      <name val="Aptos"/>
      <b val="1"/>
      <color rgb="0017222B"/>
      <sz val="15"/>
    </font>
    <font>
      <name val="Aptos"/>
      <b val="1"/>
      <color rgb="004A5560"/>
      <sz val="9"/>
    </font>
    <font>
      <name val="Aptos"/>
      <b val="1"/>
      <color rgb="000B6B5D"/>
      <sz val="12"/>
    </font>
    <font>
      <name val="Aptos"/>
      <color rgb="00F5F6F4"/>
      <sz val="8"/>
    </font>
    <font>
      <name val="Aptos"/>
      <b val="1"/>
      <color rgb="000B6B5D"/>
      <sz val="11"/>
    </font>
    <font>
      <name val="Aptos"/>
      <i val="1"/>
      <color rgb="004A5560"/>
      <sz val="10"/>
    </font>
    <font>
      <name val="Aptos"/>
      <b val="1"/>
      <color rgb="0017222B"/>
      <sz val="12"/>
    </font>
    <font>
      <name val="Aptos"/>
      <b val="1"/>
      <color rgb="00F4D23C"/>
      <sz val="11"/>
    </font>
    <font>
      <name val="Aptos Display"/>
      <color rgb="00FFFFFF"/>
      <sz val="40"/>
    </font>
    <font>
      <name val="Aptos"/>
      <b val="1"/>
      <color rgb="00E4E9ED"/>
      <sz val="14"/>
    </font>
    <font>
      <name val="Aptos"/>
      <color rgb="00D5DBE0"/>
      <sz val="11"/>
    </font>
    <font>
      <name val="Aptos"/>
      <color rgb="0017222B"/>
      <sz val="11"/>
    </font>
    <font>
      <name val="Aptos Display"/>
      <color rgb="0017222B"/>
      <sz val="30"/>
    </font>
    <font>
      <name val="Aptos"/>
      <color rgb="004A5560"/>
      <sz val="10"/>
    </font>
    <font>
      <name val="Aptos Display"/>
      <color rgb="0017222B"/>
      <sz val="15"/>
    </font>
    <font>
      <name val="Aptos"/>
      <b val="1"/>
      <color rgb="0017222B"/>
      <sz val="18"/>
    </font>
    <font>
      <name val="Aptos"/>
      <b val="1"/>
      <color rgb="0017222B"/>
      <sz val="11"/>
    </font>
    <font>
      <name val="Aptos Display"/>
      <color rgb="0017222B"/>
      <sz val="24"/>
    </font>
    <font>
      <name val="Aptos Display"/>
      <color rgb="00FFFFFF"/>
      <sz val="30"/>
    </font>
    <font>
      <name val="Aptos"/>
      <color rgb="00D5DBE0"/>
      <sz val="12"/>
    </font>
    <font>
      <name val="Aptos"/>
      <b val="1"/>
      <color rgb="0017222B"/>
      <sz val="16"/>
    </font>
    <font>
      <name val="Aptos Display"/>
      <color rgb="0017222B"/>
      <sz val="20"/>
    </font>
    <font>
      <name val="Aptos"/>
      <b val="1"/>
      <color rgb="0011603F"/>
      <sz val="16"/>
    </font>
    <font>
      <name val="Aptos"/>
      <color rgb="0017222B"/>
      <sz val="10"/>
    </font>
    <font>
      <name val="Aptos"/>
      <b val="1"/>
      <color rgb="009B1C1C"/>
      <sz val="16"/>
    </font>
    <font>
      <name val="Aptos Display"/>
      <color rgb="0017222B"/>
      <sz val="18"/>
    </font>
    <font>
      <name val="Aptos"/>
      <b val="1"/>
      <color rgb="000B6B5D"/>
      <sz val="14"/>
    </font>
    <font>
      <name val="Aptos"/>
      <b val="1"/>
      <color rgb="0011603F"/>
      <sz val="11"/>
    </font>
    <font>
      <name val="Aptos"/>
      <b val="1"/>
      <color rgb="0017222B"/>
      <sz val="20"/>
    </font>
    <font>
      <name val="Aptos Display"/>
      <color rgb="00FFFFFF"/>
      <sz val="28"/>
    </font>
    <font>
      <name val="Aptos"/>
      <b val="1"/>
      <color rgb="0017222B"/>
      <sz val="14"/>
    </font>
    <font>
      <name val="Aptos"/>
      <b val="1"/>
      <color rgb="00FFFFFF"/>
      <sz val="10"/>
    </font>
    <font>
      <name val="Aptos Display"/>
      <color rgb="00FFFFFF"/>
      <sz val="24"/>
    </font>
    <font>
      <name val="Aptos Display"/>
      <color rgb="0017222B"/>
      <sz val="22"/>
    </font>
    <font>
      <name val="Aptos Display"/>
      <b val="1"/>
      <i val="1"/>
      <color rgb="00F4D23C"/>
      <sz val="15"/>
    </font>
    <font>
      <name val="Aptos Display"/>
      <i val="1"/>
      <color rgb="00F5F6F4"/>
      <sz val="14"/>
    </font>
    <font>
      <name val="Aptos Display"/>
      <b val="1"/>
      <i val="1"/>
      <color rgb="00F4D23C"/>
      <sz val="14"/>
    </font>
    <font>
      <name val="Aptos"/>
      <color rgb="00FFFFFF"/>
      <sz val="11"/>
    </font>
    <font>
      <name val="Aptos"/>
      <b val="1"/>
      <color rgb="000B6B5D"/>
      <sz val="10"/>
    </font>
    <font>
      <name val="Aptos"/>
      <i val="1"/>
      <color rgb="004A5560"/>
      <sz val="11"/>
    </font>
    <font>
      <name val="Aptos Display"/>
      <b val="1"/>
      <color rgb="000B6B5D"/>
      <sz val="16"/>
    </font>
  </fonts>
  <fills count="11">
    <fill>
      <patternFill/>
    </fill>
    <fill>
      <patternFill patternType="gray125"/>
    </fill>
    <fill>
      <patternFill patternType="solid">
        <fgColor rgb="0017222B"/>
      </patternFill>
    </fill>
    <fill>
      <patternFill patternType="solid">
        <fgColor rgb="00E4E9ED"/>
      </patternFill>
    </fill>
    <fill>
      <patternFill patternType="solid">
        <fgColor rgb="00DDEFE3"/>
      </patternFill>
    </fill>
    <fill>
      <patternFill patternType="solid">
        <fgColor rgb="00FFF6CC"/>
      </patternFill>
    </fill>
    <fill>
      <patternFill patternType="solid">
        <fgColor rgb="00FFFFFF"/>
      </patternFill>
    </fill>
    <fill>
      <patternFill patternType="solid">
        <fgColor rgb="00F5F6F4"/>
      </patternFill>
    </fill>
    <fill>
      <patternFill patternType="solid">
        <fgColor rgb="00F4D23C"/>
      </patternFill>
    </fill>
    <fill>
      <patternFill patternType="solid">
        <fgColor rgb="00FCE4E1"/>
      </patternFill>
    </fill>
    <fill>
      <patternFill patternType="solid">
        <fgColor rgb="001F2D36"/>
      </patternFill>
    </fill>
  </fills>
  <borders count="26">
    <border>
      <left/>
      <right/>
      <top/>
      <bottom/>
      <diagonal/>
    </border>
    <border>
      <left style="thick">
        <color rgb="000B6B5D"/>
      </left>
      <top style="thin">
        <color rgb="000B6B5D"/>
      </top>
      <bottom style="thin">
        <color rgb="000B6B5D"/>
      </bottom>
    </border>
    <border>
      <top style="thin">
        <color rgb="000B6B5D"/>
      </top>
      <bottom style="thin">
        <color rgb="000B6B5D"/>
      </bottom>
    </border>
    <border>
      <right style="thin">
        <color rgb="000B6B5D"/>
      </right>
      <top style="thin">
        <color rgb="000B6B5D"/>
      </top>
      <bottom style="thin">
        <color rgb="000B6B5D"/>
      </bottom>
    </border>
    <border>
      <left style="thin">
        <color rgb="000B6B5D"/>
      </left>
      <right style="thin">
        <color rgb="000B6B5D"/>
      </right>
      <top style="thin">
        <color rgb="000B6B5D"/>
      </top>
      <bottom style="thin">
        <color rgb="000B6B5D"/>
      </bottom>
    </border>
    <border>
      <bottom style="thin">
        <color rgb="00D5DBE0"/>
      </bottom>
    </border>
    <border>
      <left style="thin">
        <color rgb="00D5DBE0"/>
      </left>
      <top style="thin">
        <color rgb="00D5DBE0"/>
      </top>
    </border>
    <border>
      <top style="thin">
        <color rgb="00D5DBE0"/>
      </top>
    </border>
    <border>
      <right style="thin">
        <color rgb="00D5DBE0"/>
      </right>
      <top style="thin">
        <color rgb="00D5DBE0"/>
      </top>
    </border>
    <border>
      <left style="thin">
        <color rgb="00D5DBE0"/>
      </left>
    </border>
    <border/>
    <border>
      <right style="thin">
        <color rgb="00D5DBE0"/>
      </right>
    </border>
    <border>
      <left style="thin">
        <color rgb="00D5DBE0"/>
      </left>
      <bottom style="thin">
        <color rgb="00D5DBE0"/>
      </bottom>
    </border>
    <border>
      <right style="thin">
        <color rgb="00D5DBE0"/>
      </right>
      <bottom style="thin">
        <color rgb="00D5DBE0"/>
      </bottom>
    </border>
    <border>
      <left style="thin">
        <color rgb="000B6B5D"/>
      </left>
      <top style="thin">
        <color rgb="000B6B5D"/>
      </top>
    </border>
    <border>
      <top style="thin">
        <color rgb="000B6B5D"/>
      </top>
    </border>
    <border>
      <right style="thin">
        <color rgb="000B6B5D"/>
      </right>
      <top style="thin">
        <color rgb="000B6B5D"/>
      </top>
    </border>
    <border>
      <left style="thin">
        <color rgb="000B6B5D"/>
      </left>
    </border>
    <border>
      <right style="thin">
        <color rgb="000B6B5D"/>
      </right>
    </border>
    <border>
      <left style="thin">
        <color rgb="000B6B5D"/>
      </left>
      <bottom style="thin">
        <color rgb="000B6B5D"/>
      </bottom>
    </border>
    <border>
      <bottom style="thin">
        <color rgb="000B6B5D"/>
      </bottom>
    </border>
    <border>
      <right style="thin">
        <color rgb="000B6B5D"/>
      </right>
      <bottom style="thin">
        <color rgb="000B6B5D"/>
      </bottom>
    </border>
    <border>
      <left style="thin">
        <color rgb="000B6B5D"/>
      </left>
      <top style="thin">
        <color rgb="000B6B5D"/>
      </top>
      <bottom style="thin">
        <color rgb="000B6B5D"/>
      </bottom>
    </border>
    <border>
      <left/>
      <right/>
      <top/>
      <bottom style="thin">
        <color rgb="00D5DBE0"/>
      </bottom>
      <diagonal/>
    </border>
    <border>
      <bottom style="thin">
        <color rgb="004A5560"/>
      </bottom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0" fillId="7" borderId="0" pivotButton="0" quotePrefix="0" xfId="0"/>
    <xf numFmtId="0" fontId="19" fillId="2" borderId="0" applyAlignment="1" pivotButton="0" quotePrefix="0" xfId="0">
      <alignment horizontal="left" vertical="bottom" wrapText="1" indent="2"/>
    </xf>
    <xf numFmtId="0" fontId="23" fillId="3" borderId="0" applyAlignment="1" pivotButton="0" quotePrefix="0" xfId="0">
      <alignment horizontal="left" vertical="top" wrapText="1" indent="1"/>
    </xf>
    <xf numFmtId="0" fontId="0" fillId="2" borderId="0" pivotButton="0" quotePrefix="0" xfId="0"/>
    <xf numFmtId="0" fontId="20" fillId="2" borderId="0" applyAlignment="1" pivotButton="0" quotePrefix="0" xfId="0">
      <alignment horizontal="left" vertical="center" wrapText="1" indent="2"/>
    </xf>
    <xf numFmtId="0" fontId="21" fillId="2" borderId="0" applyAlignment="1" pivotButton="0" quotePrefix="0" xfId="0">
      <alignment horizontal="left" vertical="center" wrapText="1" indent="2"/>
    </xf>
    <xf numFmtId="0" fontId="22" fillId="2" borderId="0" applyAlignment="1" pivotButton="0" quotePrefix="0" xfId="0">
      <alignment horizontal="left" vertical="top" wrapText="1" indent="2"/>
    </xf>
    <xf numFmtId="0" fontId="23" fillId="2" borderId="0" applyAlignment="1" pivotButton="0" quotePrefix="0" xfId="0">
      <alignment horizontal="left" vertical="top" wrapText="1" indent="2"/>
    </xf>
    <xf numFmtId="0" fontId="24" fillId="4" borderId="0" applyAlignment="1" pivotButton="0" quotePrefix="0" xfId="0">
      <alignment horizontal="left" vertical="bottom" wrapText="1" indent="2"/>
    </xf>
    <xf numFmtId="0" fontId="24" fillId="6" borderId="0" applyAlignment="1" pivotButton="0" quotePrefix="0" xfId="0">
      <alignment horizontal="left" vertical="bottom" wrapText="1" indent="2"/>
    </xf>
    <xf numFmtId="0" fontId="24" fillId="3" borderId="0" applyAlignment="1" pivotButton="0" quotePrefix="0" xfId="0">
      <alignment horizontal="left" vertical="bottom" wrapText="1" indent="2"/>
    </xf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25" fillId="4" borderId="0" applyAlignment="1" pivotButton="0" quotePrefix="0" xfId="0">
      <alignment horizontal="left" vertical="top" wrapText="1" indent="2"/>
    </xf>
    <xf numFmtId="0" fontId="25" fillId="6" borderId="0" applyAlignment="1" pivotButton="0" quotePrefix="0" xfId="0">
      <alignment horizontal="left" vertical="top" wrapText="1" indent="2"/>
    </xf>
    <xf numFmtId="0" fontId="25" fillId="3" borderId="0" applyAlignment="1" pivotButton="0" quotePrefix="0" xfId="0">
      <alignment horizontal="left" vertical="top" wrapText="1" indent="2"/>
    </xf>
    <xf numFmtId="0" fontId="26" fillId="6" borderId="6" applyAlignment="1" pivotButton="0" quotePrefix="0" xfId="0">
      <alignment horizontal="left" vertical="bottom" wrapText="1" indent="2"/>
    </xf>
    <xf numFmtId="0" fontId="0" fillId="0" borderId="7" pivotButton="0" quotePrefix="0" xfId="0"/>
    <xf numFmtId="0" fontId="0" fillId="0" borderId="8" pivotButton="0" quotePrefix="0" xfId="0"/>
    <xf numFmtId="0" fontId="27" fillId="8" borderId="0" applyAlignment="1" applyProtection="1" pivotButton="0" quotePrefix="0" xfId="0">
      <alignment horizontal="center" vertical="center" wrapText="1" indent="1"/>
      <protection locked="0" hidden="1"/>
    </xf>
    <xf numFmtId="0" fontId="0" fillId="0" borderId="0" applyProtection="1" pivotButton="0" quotePrefix="0" xfId="0">
      <protection locked="0" hidden="1"/>
    </xf>
    <xf numFmtId="0" fontId="0" fillId="6" borderId="9" pivotButton="0" quotePrefix="0" xfId="0"/>
    <xf numFmtId="0" fontId="0" fillId="6" borderId="10" pivotButton="0" quotePrefix="0" xfId="0"/>
    <xf numFmtId="0" fontId="0" fillId="6" borderId="11" pivotButton="0" quotePrefix="0" xfId="0"/>
    <xf numFmtId="0" fontId="25" fillId="6" borderId="12" applyAlignment="1" pivotButton="0" quotePrefix="0" xfId="0">
      <alignment horizontal="left" vertical="top" wrapText="1" indent="2"/>
    </xf>
    <xf numFmtId="0" fontId="0" fillId="0" borderId="5" pivotButton="0" quotePrefix="0" xfId="0"/>
    <xf numFmtId="0" fontId="0" fillId="0" borderId="13" pivotButton="0" quotePrefix="0" xfId="0"/>
    <xf numFmtId="0" fontId="30" fillId="2" borderId="0" applyAlignment="1" pivotButton="0" quotePrefix="0" xfId="0">
      <alignment horizontal="left" vertical="center" wrapText="1" indent="2"/>
    </xf>
    <xf numFmtId="0" fontId="31" fillId="2" borderId="0" applyAlignment="1" pivotButton="0" quotePrefix="0" xfId="0">
      <alignment horizontal="left" vertical="top" wrapText="1" indent="2"/>
    </xf>
    <xf numFmtId="0" fontId="32" fillId="6" borderId="6" applyAlignment="1" pivotButton="0" quotePrefix="0" xfId="0">
      <alignment horizontal="left" vertical="center" wrapText="1" indent="2"/>
    </xf>
    <xf numFmtId="0" fontId="10" fillId="6" borderId="9" applyAlignment="1" pivotButton="0" quotePrefix="0" xfId="0">
      <alignment horizontal="left" vertical="top" wrapText="1" indent="2"/>
    </xf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0" fontId="28" fillId="3" borderId="0" applyAlignment="1" pivotButton="0" quotePrefix="0" xfId="0">
      <alignment horizontal="center" vertical="center" wrapText="1"/>
    </xf>
    <xf numFmtId="0" fontId="23" fillId="6" borderId="6" applyAlignment="1" pivotButton="0" quotePrefix="0" xfId="0">
      <alignment horizontal="left" vertical="top" wrapText="1" indent="1"/>
    </xf>
    <xf numFmtId="0" fontId="33" fillId="6" borderId="9" applyAlignment="1" pivotButton="0" quotePrefix="0" xfId="0">
      <alignment horizontal="left" vertical="center" wrapText="1" indent="1"/>
    </xf>
    <xf numFmtId="0" fontId="10" fillId="6" borderId="9" applyAlignment="1" pivotButton="0" quotePrefix="0" xfId="0">
      <alignment horizontal="left" vertical="top" wrapText="1" indent="1"/>
    </xf>
    <xf numFmtId="0" fontId="28" fillId="8" borderId="0" applyAlignment="1" pivotButton="0" quotePrefix="0" xfId="0">
      <alignment horizontal="left" vertical="bottom" wrapText="1" indent="2"/>
    </xf>
    <xf numFmtId="0" fontId="0" fillId="8" borderId="0" pivotButton="0" quotePrefix="0" xfId="0"/>
    <xf numFmtId="0" fontId="29" fillId="8" borderId="0" applyAlignment="1" pivotButton="0" quotePrefix="0" xfId="0">
      <alignment horizontal="left" vertical="center" wrapText="1" indent="2"/>
    </xf>
    <xf numFmtId="0" fontId="23" fillId="8" borderId="0" applyAlignment="1" pivotButton="0" quotePrefix="0" xfId="0">
      <alignment horizontal="left" vertical="top" wrapText="1" indent="2"/>
    </xf>
    <xf numFmtId="0" fontId="34" fillId="4" borderId="0" applyAlignment="1" pivotButton="0" quotePrefix="0" xfId="0">
      <alignment horizontal="left" vertical="bottom" wrapText="1" indent="2"/>
    </xf>
    <xf numFmtId="0" fontId="36" fillId="9" borderId="0" applyAlignment="1" pivotButton="0" quotePrefix="0" xfId="0">
      <alignment horizontal="left" vertical="bottom" wrapText="1" indent="2"/>
    </xf>
    <xf numFmtId="0" fontId="0" fillId="9" borderId="0" pivotButton="0" quotePrefix="0" xfId="0"/>
    <xf numFmtId="0" fontId="35" fillId="4" borderId="0" applyAlignment="1" pivotButton="0" quotePrefix="0" xfId="0">
      <alignment horizontal="left" vertical="top" wrapText="1" indent="2"/>
    </xf>
    <xf numFmtId="0" fontId="35" fillId="9" borderId="0" applyAlignment="1" pivotButton="0" quotePrefix="0" xfId="0">
      <alignment horizontal="left" vertical="top" wrapText="1" indent="2"/>
    </xf>
    <xf numFmtId="0" fontId="37" fillId="3" borderId="0" applyAlignment="1" pivotButton="0" quotePrefix="0" xfId="0">
      <alignment horizontal="left" vertical="center" wrapText="1" indent="7"/>
    </xf>
    <xf numFmtId="0" fontId="10" fillId="3" borderId="0" applyAlignment="1" pivotButton="0" quotePrefix="0" xfId="0">
      <alignment horizontal="left" vertical="top" wrapText="1" indent="7"/>
    </xf>
    <xf numFmtId="0" fontId="38" fillId="6" borderId="14" applyAlignment="1" pivotButton="0" quotePrefix="0" xfId="0">
      <alignment horizontal="left" vertical="center" wrapText="1" indent="2"/>
    </xf>
    <xf numFmtId="0" fontId="0" fillId="0" borderId="15" pivotButton="0" quotePrefix="0" xfId="0"/>
    <xf numFmtId="0" fontId="0" fillId="0" borderId="16" pivotButton="0" quotePrefix="0" xfId="0"/>
    <xf numFmtId="0" fontId="39" fillId="6" borderId="6" applyAlignment="1" pivotButton="0" quotePrefix="0" xfId="0">
      <alignment horizontal="left" vertical="center" wrapText="1" indent="2"/>
    </xf>
    <xf numFmtId="0" fontId="0" fillId="6" borderId="17" pivotButton="0" quotePrefix="0" xfId="0"/>
    <xf numFmtId="0" fontId="0" fillId="6" borderId="18" pivotButton="0" quotePrefix="0" xfId="0"/>
    <xf numFmtId="0" fontId="23" fillId="6" borderId="17" applyAlignment="1" pivotButton="0" quotePrefix="0" xfId="0">
      <alignment horizontal="left" vertical="top" wrapText="1" indent="2"/>
    </xf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40" fillId="8" borderId="0" applyAlignment="1" applyProtection="1" pivotButton="0" quotePrefix="0" xfId="0">
      <alignment horizontal="center" vertical="center" wrapText="1" indent="1"/>
      <protection locked="0" hidden="1"/>
    </xf>
    <xf numFmtId="0" fontId="0" fillId="7" borderId="24" pivotButton="0" quotePrefix="0" xfId="0"/>
    <xf numFmtId="0" fontId="28" fillId="7" borderId="24" applyAlignment="1" applyProtection="1" pivotButton="0" quotePrefix="0" xfId="0">
      <alignment horizontal="left" vertical="center" indent="1"/>
      <protection locked="0" hidden="1"/>
    </xf>
    <xf numFmtId="0" fontId="28" fillId="7" borderId="24" applyAlignment="1" applyProtection="1" pivotButton="0" quotePrefix="0" xfId="0">
      <alignment horizontal="right" vertical="center" indent="1"/>
      <protection locked="0" hidden="1"/>
    </xf>
    <xf numFmtId="0" fontId="41" fillId="2" borderId="0" applyAlignment="1" pivotButton="0" quotePrefix="0" xfId="0">
      <alignment horizontal="left" vertical="center" indent="2"/>
    </xf>
    <xf numFmtId="0" fontId="42" fillId="8" borderId="0" applyAlignment="1" applyProtection="1" pivotButton="0" quotePrefix="0" xfId="0">
      <alignment horizontal="left" vertical="center" indent="2"/>
      <protection locked="0" hidden="1"/>
    </xf>
    <xf numFmtId="0" fontId="0" fillId="7" borderId="0" applyProtection="1" pivotButton="0" quotePrefix="0" xfId="0">
      <protection locked="0" hidden="1"/>
    </xf>
    <xf numFmtId="0" fontId="14" fillId="5" borderId="0" applyAlignment="1" pivotButton="0" quotePrefix="0" xfId="0">
      <alignment horizontal="left" vertical="center" wrapText="1" indent="1"/>
    </xf>
    <xf numFmtId="0" fontId="18" fillId="6" borderId="22" applyAlignment="1" applyProtection="1" pivotButton="0" quotePrefix="0" xfId="0">
      <alignment horizontal="left" vertical="center" indent="1"/>
      <protection locked="0" hidden="0"/>
    </xf>
    <xf numFmtId="0" fontId="0" fillId="7" borderId="2" applyProtection="1" pivotButton="0" quotePrefix="0" xfId="0">
      <protection locked="0" hidden="0"/>
    </xf>
    <xf numFmtId="0" fontId="0" fillId="7" borderId="3" applyProtection="1" pivotButton="0" quotePrefix="0" xfId="0">
      <protection locked="0" hidden="0"/>
    </xf>
    <xf numFmtId="0" fontId="13" fillId="3" borderId="0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8" fillId="6" borderId="5" applyAlignment="1" pivotButton="0" quotePrefix="0" xfId="0">
      <alignment horizontal="left" vertical="center" wrapText="1" indent="1"/>
    </xf>
    <xf numFmtId="0" fontId="25" fillId="6" borderId="5" applyAlignment="1" pivotButton="0" quotePrefix="0" xfId="0">
      <alignment horizontal="left" vertical="center" wrapText="1" indent="1"/>
    </xf>
    <xf numFmtId="0" fontId="25" fillId="6" borderId="5" applyAlignment="1" pivotButton="0" quotePrefix="0" xfId="0">
      <alignment horizontal="center" vertical="center" wrapText="1"/>
    </xf>
    <xf numFmtId="0" fontId="16" fillId="6" borderId="5" applyAlignment="1" applyProtection="1" pivotButton="0" quotePrefix="0" xfId="0">
      <alignment horizontal="center" vertical="center" wrapText="1"/>
      <protection locked="0" hidden="1"/>
    </xf>
    <xf numFmtId="164" fontId="18" fillId="6" borderId="5" applyAlignment="1" pivotButton="0" quotePrefix="0" xfId="0">
      <alignment horizontal="center" vertical="center" wrapText="1"/>
    </xf>
    <xf numFmtId="0" fontId="43" fillId="2" borderId="0" applyAlignment="1" pivotButton="0" quotePrefix="0" xfId="0">
      <alignment horizontal="left" vertical="center" wrapText="1" indent="1"/>
    </xf>
    <xf numFmtId="164" fontId="42" fillId="4" borderId="0" applyAlignment="1" pivotButton="0" quotePrefix="0" xfId="0">
      <alignment horizontal="center" vertical="center" wrapText="1"/>
    </xf>
    <xf numFmtId="0" fontId="28" fillId="7" borderId="0" applyAlignment="1" applyProtection="1" pivotButton="0" quotePrefix="0" xfId="0">
      <alignment horizontal="left" vertical="center" indent="1"/>
      <protection locked="0" hidden="1"/>
    </xf>
    <xf numFmtId="0" fontId="28" fillId="7" borderId="24" applyAlignment="1" applyProtection="1" pivotButton="0" quotePrefix="0" xfId="0">
      <alignment horizontal="center" vertical="center" indent="1"/>
      <protection locked="0" hidden="1"/>
    </xf>
    <xf numFmtId="0" fontId="15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1" fillId="2" borderId="0" applyAlignment="1" applyProtection="1" pivotButton="0" quotePrefix="0" xfId="0">
      <alignment horizontal="right" vertical="center" indent="1"/>
      <protection locked="0" hidden="1"/>
    </xf>
    <xf numFmtId="0" fontId="2" fillId="2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top" wrapText="1" indent="1"/>
    </xf>
    <xf numFmtId="0" fontId="4" fillId="3" borderId="0" applyAlignment="1" pivotButton="0" quotePrefix="0" xfId="0">
      <alignment horizontal="left" vertical="center" wrapText="1" indent="1"/>
    </xf>
    <xf numFmtId="0" fontId="11" fillId="3" borderId="0" applyAlignment="1" applyProtection="1" pivotButton="0" quotePrefix="0" xfId="0">
      <alignment horizontal="left" vertical="center" indent="1"/>
      <protection locked="0" hidden="1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 indent="1"/>
    </xf>
    <xf numFmtId="0" fontId="13" fillId="7" borderId="0" applyAlignment="1" pivotButton="0" quotePrefix="0" xfId="0">
      <alignment horizontal="left" vertical="center" wrapText="1" indent="1"/>
    </xf>
    <xf numFmtId="0" fontId="13" fillId="3" borderId="25" applyAlignment="1" pivotButton="0" quotePrefix="0" xfId="0">
      <alignment horizontal="center" vertical="center" wrapText="1"/>
    </xf>
    <xf numFmtId="0" fontId="6" fillId="6" borderId="25" applyAlignment="1" applyProtection="1" pivotButton="0" quotePrefix="0" xfId="0">
      <alignment horizontal="left" vertical="center" indent="1"/>
      <protection locked="0" hidden="1"/>
    </xf>
    <xf numFmtId="1" fontId="6" fillId="6" borderId="25" applyAlignment="1" applyProtection="1" pivotButton="0" quotePrefix="0" xfId="0">
      <alignment horizontal="left" vertical="center" indent="1"/>
      <protection locked="0" hidden="1"/>
    </xf>
    <xf numFmtId="165" fontId="6" fillId="6" borderId="25" applyAlignment="1" applyProtection="1" pivotButton="0" quotePrefix="0" xfId="0">
      <alignment horizontal="right" vertical="center" indent="1"/>
      <protection locked="0" hidden="1"/>
    </xf>
    <xf numFmtId="165" fontId="6" fillId="6" borderId="25" applyAlignment="1" applyProtection="1" pivotButton="0" quotePrefix="0" xfId="0">
      <alignment horizontal="left" vertical="center" indent="1"/>
      <protection locked="0" hidden="1"/>
    </xf>
    <xf numFmtId="0" fontId="6" fillId="6" borderId="5" applyAlignment="1" applyProtection="1" pivotButton="0" quotePrefix="0" xfId="0">
      <alignment horizontal="left" vertical="center" indent="1"/>
      <protection locked="0" hidden="1"/>
    </xf>
    <xf numFmtId="166" fontId="6" fillId="6" borderId="5" applyAlignment="1" applyProtection="1" pivotButton="0" quotePrefix="0" xfId="0">
      <alignment horizontal="left" vertical="center" indent="1"/>
      <protection locked="0" hidden="1"/>
    </xf>
    <xf numFmtId="0" fontId="16" fillId="7" borderId="0" applyAlignment="1" applyProtection="1" pivotButton="0" quotePrefix="0" xfId="0">
      <alignment horizontal="left" vertical="center" indent="1"/>
      <protection locked="0" hidden="1"/>
    </xf>
    <xf numFmtId="0" fontId="7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 indent="1"/>
    </xf>
    <xf numFmtId="0" fontId="0" fillId="7" borderId="2" pivotButton="0" quotePrefix="0" xfId="0"/>
    <xf numFmtId="0" fontId="0" fillId="7" borderId="3" pivotButton="0" quotePrefix="0" xfId="0"/>
    <xf numFmtId="0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 indent="1"/>
    </xf>
    <xf numFmtId="0" fontId="0" fillId="7" borderId="5" pivotButton="0" quotePrefix="0" xfId="0"/>
    <xf numFmtId="165" fontId="18" fillId="6" borderId="4" applyAlignment="1" applyProtection="1" pivotButton="0" quotePrefix="0" xfId="0">
      <alignment horizontal="right" vertical="center" indent="1"/>
      <protection locked="0" hidden="0"/>
    </xf>
    <xf numFmtId="0" fontId="10" fillId="6" borderId="5" applyAlignment="1" pivotButton="0" quotePrefix="0" xfId="0">
      <alignment horizontal="left" vertical="center" wrapText="1" indent="1"/>
    </xf>
    <xf numFmtId="0" fontId="11" fillId="7" borderId="5" applyAlignment="1" pivotButton="0" quotePrefix="0" xfId="0">
      <alignment horizontal="center" vertical="center" wrapText="1"/>
    </xf>
    <xf numFmtId="0" fontId="14" fillId="5" borderId="4" applyAlignment="1" applyProtection="1" pivotButton="0" quotePrefix="0" xfId="0">
      <alignment horizontal="center" vertical="center" wrapText="1"/>
      <protection locked="0" hidden="0"/>
    </xf>
    <xf numFmtId="1" fontId="18" fillId="6" borderId="4" applyAlignment="1" applyProtection="1" pivotButton="0" quotePrefix="0" xfId="0">
      <alignment horizontal="right" vertical="center" indent="1"/>
      <protection locked="0" hidden="0"/>
    </xf>
    <xf numFmtId="0" fontId="17" fillId="6" borderId="4" applyAlignment="1" pivotButton="0" quotePrefix="0" xfId="0">
      <alignment horizontal="center" vertical="center" wrapText="1"/>
    </xf>
    <xf numFmtId="164" fontId="12" fillId="4" borderId="0" applyAlignment="1" pivotButton="0" quotePrefix="0" xfId="0">
      <alignment horizontal="center" vertical="center" wrapText="1"/>
    </xf>
    <xf numFmtId="0" fontId="44" fillId="2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1" fontId="45" fillId="3" borderId="0" applyAlignment="1" pivotButton="0" quotePrefix="0" xfId="0">
      <alignment horizontal="left" vertical="center" wrapText="1" indent="1"/>
    </xf>
    <xf numFmtId="9" fontId="45" fillId="3" borderId="0" applyAlignment="1" pivotButton="0" quotePrefix="0" xfId="0">
      <alignment horizontal="left" vertical="center" wrapText="1" indent="1"/>
    </xf>
    <xf numFmtId="49" fontId="42" fillId="3" borderId="0" applyAlignment="1" pivotButton="0" quotePrefix="0" xfId="0">
      <alignment horizontal="left" vertical="center" shrinkToFit="1" indent="1"/>
    </xf>
    <xf numFmtId="1" fontId="23" fillId="6" borderId="5" applyAlignment="1" pivotButton="0" quotePrefix="0" xfId="0">
      <alignment horizontal="center" vertical="center" wrapText="1"/>
    </xf>
    <xf numFmtId="49" fontId="23" fillId="6" borderId="5" applyAlignment="1" pivotButton="0" quotePrefix="0" xfId="0">
      <alignment horizontal="left" vertical="center" wrapText="1" indent="1"/>
    </xf>
    <xf numFmtId="49" fontId="23" fillId="6" borderId="5" applyAlignment="1" pivotButton="0" quotePrefix="0" xfId="0">
      <alignment horizontal="center" vertical="center" wrapText="1"/>
    </xf>
    <xf numFmtId="9" fontId="23" fillId="6" borderId="5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left" vertical="center" indent="1"/>
    </xf>
    <xf numFmtId="0" fontId="46" fillId="10" borderId="0" applyAlignment="1" pivotButton="0" quotePrefix="0" xfId="0">
      <alignment horizontal="left" vertical="center" shrinkToFit="1" indent="2"/>
    </xf>
    <xf numFmtId="0" fontId="47" fillId="10" borderId="0" applyAlignment="1" pivotButton="0" quotePrefix="0" xfId="0">
      <alignment horizontal="left" vertical="center" shrinkToFit="1" indent="2"/>
    </xf>
    <xf numFmtId="0" fontId="48" fillId="10" borderId="0" applyAlignment="1" pivotButton="0" quotePrefix="0" xfId="0">
      <alignment horizontal="left" vertical="center" shrinkToFit="1" indent="2"/>
    </xf>
    <xf numFmtId="0" fontId="14" fillId="6" borderId="0" applyAlignment="1" applyProtection="1" pivotButton="0" quotePrefix="0" xfId="0">
      <alignment horizontal="left" vertical="center" wrapText="1" indent="1"/>
      <protection locked="0" hidden="1"/>
    </xf>
    <xf numFmtId="0" fontId="23" fillId="6" borderId="0" applyAlignment="1" pivotButton="0" quotePrefix="0" xfId="0">
      <alignment horizontal="left" vertical="center" wrapText="1" indent="1"/>
    </xf>
    <xf numFmtId="0" fontId="28" fillId="4" borderId="0" applyAlignment="1" pivotButton="0" quotePrefix="0" xfId="0">
      <alignment horizontal="left" vertical="center" wrapText="1" indent="1"/>
    </xf>
    <xf numFmtId="0" fontId="52" fillId="6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left" vertical="center" wrapText="1" indent="1"/>
    </xf>
    <xf numFmtId="0" fontId="0" fillId="6" borderId="5" pivotButton="0" quotePrefix="0" xfId="0"/>
    <xf numFmtId="0" fontId="10" fillId="6" borderId="5" applyAlignment="1" pivotButton="0" quotePrefix="0" xfId="0">
      <alignment horizontal="left" vertical="top" wrapText="1" indent="1"/>
    </xf>
    <xf numFmtId="0" fontId="10" fillId="6" borderId="0" applyAlignment="1" pivotButton="0" quotePrefix="0" xfId="0">
      <alignment horizontal="left" vertical="top" wrapText="1" indent="1"/>
    </xf>
    <xf numFmtId="0" fontId="6" fillId="4" borderId="0" applyAlignment="1" applyProtection="1" pivotButton="0" quotePrefix="0" xfId="0">
      <alignment horizontal="left" vertical="center" wrapText="1" indent="1"/>
      <protection locked="0" hidden="1"/>
    </xf>
    <xf numFmtId="166" fontId="18" fillId="6" borderId="4" applyAlignment="1" pivotButton="0" quotePrefix="0" xfId="0">
      <alignment horizontal="center" vertical="center"/>
    </xf>
    <xf numFmtId="0" fontId="14" fillId="6" borderId="5" applyAlignment="1" pivotButton="0" quotePrefix="0" xfId="0">
      <alignment horizontal="left" vertical="center" wrapText="1" indent="1"/>
    </xf>
    <xf numFmtId="0" fontId="0" fillId="7" borderId="23" pivotButton="0" quotePrefix="0" xfId="0"/>
    <xf numFmtId="0" fontId="51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ont>
        <b val="1"/>
        <color rgb="0011603F"/>
      </font>
      <fill>
        <patternFill patternType="solid">
          <fgColor rgb="00DDEFE3"/>
          <bgColor rgb="00DDEFE3"/>
        </patternFill>
      </fill>
    </dxf>
    <dxf>
      <fill>
        <patternFill patternType="solid">
          <fgColor rgb="00FFF9DB"/>
          <bgColor rgb="00FFF9DB"/>
        </patternFill>
      </fill>
    </dxf>
    <dxf>
      <font>
        <b val="1"/>
        <color rgb="0017222B"/>
      </font>
      <fill>
        <patternFill patternType="solid">
          <fgColor rgb="00FFE066"/>
          <bgColor rgb="00FFE066"/>
        </patternFill>
      </fill>
    </dxf>
    <dxf>
      <font>
        <b val="1"/>
        <color rgb="0017222B"/>
      </font>
      <fill>
        <patternFill patternType="solid">
          <fgColor rgb="00FFF1B8"/>
          <bgColor rgb="00FFF1B8"/>
        </patternFill>
      </fill>
    </dxf>
    <dxf>
      <fill>
        <patternFill patternType="solid">
          <fgColor rgb="00EAF6EE"/>
          <bgColor rgb="00EAF6EE"/>
        </patternFill>
      </fill>
    </dxf>
    <dxf>
      <font>
        <b val="1"/>
        <color rgb="0011603F"/>
      </font>
      <fill>
        <patternFill patternType="solid">
          <fgColor rgb="00DDEFE3"/>
        </patternFill>
      </fill>
    </dxf>
    <dxf>
      <font>
        <b val="1"/>
        <color rgb="009B1C1C"/>
      </font>
      <fill>
        <patternFill patternType="solid">
          <fgColor rgb="00FCE4E1"/>
        </patternFill>
      </fill>
    </dxf>
    <dxf>
      <font>
        <color rgb="004A556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2836545" cy="326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25</row>
      <rowOff>0</rowOff>
    </from>
    <ext cx="4325302" cy="1590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1009650</colOff>
      <row>1</row>
      <rowOff>180975</rowOff>
    </from>
    <ext cx="8001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114300</colOff>
      <row>15</row>
      <rowOff>114300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114300</colOff>
      <row>15</row>
      <rowOff>114300</rowOff>
    </from>
    <ext cx="53340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114300</colOff>
      <row>15</row>
      <rowOff>114300</rowOff>
    </from>
    <ext cx="533400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39</row>
      <rowOff>133350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133350</colOff>
      <row>39</row>
      <rowOff>133350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chats" displayName="Achats" ref="C12:F20" headerRowCount="1">
  <tableColumns count="4">
    <tableColumn id="1" name="Produit"/>
    <tableColumn id="2" name="Quantité (kg)"/>
    <tableColumn id="3" name="Prix au kg"/>
    <tableColumn id="4" name="Montant HT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mailto:mr.grosj@gmail.com?subject=Carnet%20Excel%20Zinc%20de%20L%C3%A9on%20%3A%20ques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19.5" customWidth="1" style="1" min="2" max="2"/>
    <col width="1.4" customWidth="1" style="1" min="3" max="3"/>
    <col width="19.5" customWidth="1" style="1" min="4" max="4"/>
    <col width="1.4" customWidth="1" style="1" min="5" max="5"/>
    <col width="19.5" customWidth="1" style="1" min="6" max="6"/>
    <col width="1.4" customWidth="1" style="1" min="7" max="7"/>
    <col width="19.5" customWidth="1" style="1" min="8" max="8"/>
    <col width="1.4" customWidth="1" style="1" min="9" max="9"/>
    <col width="19.5" customWidth="1" style="1" min="10" max="10"/>
    <col width="1.4" customWidth="1" style="1" min="11" max="11"/>
    <col width="19.5" customWidth="1" style="1" min="12" max="12"/>
    <col width="2" customWidth="1" style="1" min="13" max="13"/>
    <col width="9" customWidth="1" style="1" min="14" max="14"/>
    <col width="9" customWidth="1" style="1" min="15" max="1638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2" t="inlineStr">
        <is>
          <t>ÉDITION DÉCOUVERTE · GRATUITE</t>
        </is>
      </c>
      <c r="I2" s="1" t="n"/>
      <c r="J2" s="3" t="n"/>
      <c r="M2" s="1" t="n"/>
      <c r="N2" s="1" t="n"/>
    </row>
    <row r="3" ht="7" customHeight="1">
      <c r="A3" s="1" t="n"/>
      <c r="B3" s="4" t="n"/>
      <c r="C3" s="4" t="n"/>
      <c r="D3" s="4" t="n"/>
      <c r="E3" s="4" t="n"/>
      <c r="F3" s="4" t="n"/>
      <c r="G3" s="4" t="n"/>
      <c r="H3" s="4" t="n"/>
      <c r="I3" s="1" t="n"/>
      <c r="M3" s="1" t="n"/>
      <c r="N3" s="1" t="n"/>
    </row>
    <row r="4" ht="26" customHeight="1">
      <c r="A4" s="1" t="n"/>
      <c r="B4" s="5" t="inlineStr">
        <is>
          <t>Poser les bases</t>
        </is>
      </c>
      <c r="I4" s="1" t="n"/>
      <c r="M4" s="1" t="n"/>
      <c r="N4" s="1" t="n"/>
    </row>
    <row r="5" ht="7" customHeight="1">
      <c r="A5" s="1" t="n"/>
      <c r="I5" s="1" t="n"/>
      <c r="M5" s="1" t="n"/>
      <c r="N5" s="1" t="n"/>
    </row>
    <row r="6" ht="26" customHeight="1">
      <c r="A6" s="1" t="n"/>
      <c r="I6" s="1" t="n"/>
      <c r="M6" s="1" t="n"/>
      <c r="N6" s="1" t="n"/>
    </row>
    <row r="7" ht="7" customHeight="1">
      <c r="A7" s="1" t="n"/>
      <c r="I7" s="1" t="n"/>
      <c r="M7" s="1" t="n"/>
      <c r="N7" s="1" t="n"/>
    </row>
    <row r="8" ht="26" customHeight="1">
      <c r="A8" s="1" t="n"/>
      <c r="I8" s="1" t="n"/>
      <c r="M8" s="1" t="n"/>
      <c r="N8" s="1" t="n"/>
    </row>
    <row r="9" ht="7" customHeight="1">
      <c r="A9" s="1" t="n"/>
      <c r="B9" s="4" t="n"/>
      <c r="C9" s="4" t="n"/>
      <c r="D9" s="4" t="n"/>
      <c r="E9" s="4" t="n"/>
      <c r="F9" s="4" t="n"/>
      <c r="G9" s="4" t="n"/>
      <c r="H9" s="4" t="n"/>
      <c r="I9" s="1" t="n"/>
      <c r="M9" s="1" t="n"/>
      <c r="N9" s="1" t="n"/>
    </row>
    <row r="10" ht="26" customHeight="1">
      <c r="A10" s="1" t="n"/>
      <c r="B10" s="6" t="inlineStr">
        <is>
          <t>Le carnet Excel qui lit tes formules</t>
        </is>
      </c>
      <c r="I10" s="1" t="n"/>
      <c r="M10" s="1" t="n"/>
      <c r="N10" s="1" t="n"/>
    </row>
    <row r="11" ht="7" customHeight="1">
      <c r="A11" s="1" t="n"/>
      <c r="B11" s="4" t="n"/>
      <c r="C11" s="4" t="n"/>
      <c r="D11" s="4" t="n"/>
      <c r="E11" s="4" t="n"/>
      <c r="F11" s="4" t="n"/>
      <c r="G11" s="4" t="n"/>
      <c r="H11" s="4" t="n"/>
      <c r="I11" s="1" t="n"/>
      <c r="M11" s="1" t="n"/>
      <c r="N11" s="1" t="n"/>
    </row>
    <row r="12" ht="26" customHeight="1">
      <c r="A12" s="1" t="n"/>
      <c r="B12" s="7" t="inlineStr">
        <is>
          <t>Camille dirige Le Zinc de Léon, brasserie familiale depuis 1958. Excel est son outil de tous les jours : commandes, marges, planning, caisse. Chaque réponse est corrigée toute seule.</t>
        </is>
      </c>
      <c r="I12" s="1" t="n"/>
      <c r="M12" s="1" t="n"/>
      <c r="N12" s="1" t="n"/>
    </row>
    <row r="13" ht="7" customHeight="1">
      <c r="A13" s="1" t="n"/>
      <c r="I13" s="1" t="n"/>
      <c r="M13" s="1" t="n"/>
      <c r="N13" s="1" t="n"/>
    </row>
    <row r="14" ht="26" customHeight="1">
      <c r="A14" s="1" t="n"/>
      <c r="I14" s="1" t="n"/>
      <c r="M14" s="1" t="n"/>
      <c r="N14" s="1" t="n"/>
    </row>
    <row r="15" ht="7" customHeight="1">
      <c r="A15" s="1" t="n"/>
      <c r="B15" s="4" t="n"/>
      <c r="C15" s="4" t="n"/>
      <c r="D15" s="4" t="n"/>
      <c r="E15" s="4" t="n"/>
      <c r="F15" s="4" t="n"/>
      <c r="G15" s="4" t="n"/>
      <c r="H15" s="4" t="n"/>
      <c r="I15" s="1" t="n"/>
      <c r="M15" s="1" t="n"/>
      <c r="N15" s="1" t="n"/>
    </row>
    <row r="16" ht="26" customHeight="1">
      <c r="A16" s="1" t="n"/>
      <c r="B16" s="8" t="n"/>
      <c r="I16" s="1" t="n"/>
      <c r="M16" s="1" t="n"/>
      <c r="N16" s="1" t="n"/>
    </row>
    <row r="17" ht="7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26" customHeight="1">
      <c r="A18" s="1" t="n"/>
      <c r="B18" s="9" t="inlineStr">
        <is>
          <t>1</t>
        </is>
      </c>
      <c r="E18" s="1" t="n"/>
      <c r="F18" s="10" t="inlineStr">
        <is>
          <t>6</t>
        </is>
      </c>
      <c r="I18" s="1" t="n"/>
      <c r="J18" s="11" t="inlineStr">
        <is>
          <t>10 min</t>
        </is>
      </c>
      <c r="M18" s="1" t="n"/>
      <c r="N18" s="1" t="n"/>
    </row>
    <row r="19" ht="7" customHeight="1">
      <c r="A19" s="1" t="n"/>
      <c r="E19" s="1" t="n"/>
      <c r="I19" s="1" t="n"/>
      <c r="M19" s="1" t="n"/>
      <c r="N19" s="1" t="n"/>
    </row>
    <row r="20" ht="26" customHeight="1">
      <c r="A20" s="1" t="n"/>
      <c r="E20" s="1" t="n"/>
      <c r="I20" s="1" t="n"/>
      <c r="M20" s="1" t="n"/>
      <c r="N20" s="1" t="n"/>
    </row>
    <row r="21" ht="7" customHeight="1">
      <c r="A21" s="1" t="n"/>
      <c r="B21" s="12" t="n"/>
      <c r="C21" s="12" t="n"/>
      <c r="D21" s="12" t="n"/>
      <c r="E21" s="1" t="n"/>
      <c r="F21" s="13" t="n"/>
      <c r="G21" s="13" t="n"/>
      <c r="H21" s="13" t="n"/>
      <c r="I21" s="1" t="n"/>
      <c r="J21" s="14" t="n"/>
      <c r="K21" s="14" t="n"/>
      <c r="L21" s="14" t="n"/>
      <c r="M21" s="1" t="n"/>
      <c r="N21" s="1" t="n"/>
    </row>
    <row r="22" ht="26" customHeight="1">
      <c r="A22" s="1" t="n"/>
      <c r="B22" s="15" t="inlineStr">
        <is>
          <t>défi d'essai, gratuit</t>
        </is>
      </c>
      <c r="E22" s="1" t="n"/>
      <c r="F22" s="16" t="inlineStr">
        <is>
          <t>contrôles qui corrigent tes réponses</t>
        </is>
      </c>
      <c r="I22" s="1" t="n"/>
      <c r="J22" s="17" t="inlineStr">
        <is>
          <t>pour découvrir la méthode</t>
        </is>
      </c>
      <c r="M22" s="1" t="n"/>
      <c r="N22" s="1" t="n"/>
    </row>
    <row r="23" ht="7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26" customHeight="1">
      <c r="A24" s="1" t="n"/>
      <c r="B24" s="18" t="inlineStr">
        <is>
          <t>Joffrey Gros · XcelUrself</t>
        </is>
      </c>
      <c r="C24" s="19" t="n"/>
      <c r="D24" s="19" t="n"/>
      <c r="E24" s="19" t="n"/>
      <c r="F24" s="19" t="n"/>
      <c r="G24" s="19" t="n"/>
      <c r="H24" s="20" t="n"/>
      <c r="I24" s="1" t="n"/>
      <c r="J24" s="21" t="inlineStr">
        <is>
          <t>Commencer  →</t>
        </is>
      </c>
      <c r="K24" s="22" t="n"/>
      <c r="L24" s="22" t="n"/>
      <c r="M24" s="1" t="n"/>
      <c r="N24" s="1" t="n"/>
    </row>
    <row r="25" ht="7" customHeight="1">
      <c r="A25" s="1" t="n"/>
      <c r="B25" s="23" t="n"/>
      <c r="C25" s="24" t="n"/>
      <c r="D25" s="24" t="n"/>
      <c r="E25" s="24" t="n"/>
      <c r="F25" s="24" t="n"/>
      <c r="G25" s="24" t="n"/>
      <c r="H25" s="25" t="n"/>
      <c r="I25" s="1" t="n"/>
      <c r="J25" s="22" t="n"/>
      <c r="K25" s="22" t="n"/>
      <c r="L25" s="22" t="n"/>
      <c r="M25" s="1" t="n"/>
      <c r="N25" s="1" t="n"/>
    </row>
    <row r="26" ht="26" customHeight="1">
      <c r="A26" s="1" t="n"/>
      <c r="B26" s="26" t="inlineStr">
        <is>
          <t>Formateur Excel, Power Query et Power BI · Microsoft Certified Trainer</t>
        </is>
      </c>
      <c r="C26" s="27" t="n"/>
      <c r="D26" s="27" t="n"/>
      <c r="E26" s="27" t="n"/>
      <c r="F26" s="27" t="n"/>
      <c r="G26" s="27" t="n"/>
      <c r="H26" s="28" t="n"/>
      <c r="I26" s="1" t="n"/>
      <c r="J26" s="22" t="n"/>
      <c r="K26" s="22" t="n"/>
      <c r="L26" s="22" t="n"/>
      <c r="M26" s="1" t="n"/>
      <c r="N26" s="1" t="n"/>
    </row>
    <row r="27" ht="7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5">
    <mergeCell ref="F22:H22"/>
    <mergeCell ref="B26:H26"/>
    <mergeCell ref="B18:D20"/>
    <mergeCell ref="B22:D22"/>
    <mergeCell ref="J22:L22"/>
    <mergeCell ref="F18:H20"/>
    <mergeCell ref="J18:L20"/>
    <mergeCell ref="B24:H24"/>
    <mergeCell ref="B16:H16"/>
    <mergeCell ref="B12:H14"/>
    <mergeCell ref="B2:H2"/>
    <mergeCell ref="B10:H10"/>
    <mergeCell ref="B4:H8"/>
    <mergeCell ref="J24:L26"/>
    <mergeCell ref="J2:L16"/>
  </mergeCells>
  <hyperlinks>
    <hyperlink ref="J24" location="'Menu'!A1" display="Commencer  →"/>
  </hyperlink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19.5" customWidth="1" style="1" min="2" max="2"/>
    <col width="1.4" customWidth="1" style="1" min="3" max="3"/>
    <col width="19.5" customWidth="1" style="1" min="4" max="4"/>
    <col width="1.4" customWidth="1" style="1" min="5" max="5"/>
    <col width="19.5" customWidth="1" style="1" min="6" max="6"/>
    <col width="1.4" customWidth="1" style="1" min="7" max="7"/>
    <col width="19.5" customWidth="1" style="1" min="8" max="8"/>
    <col width="1.4" customWidth="1" style="1" min="9" max="9"/>
    <col width="19.5" customWidth="1" style="1" min="10" max="10"/>
    <col width="1.4" customWidth="1" style="1" min="11" max="11"/>
    <col width="19.5" customWidth="1" style="1" min="12" max="12"/>
    <col width="2" customWidth="1" style="1" min="13" max="13"/>
    <col width="9" customWidth="1" style="1" min="14" max="14"/>
    <col width="9" customWidth="1" style="1" min="15" max="1638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29" t="inlineStr">
        <is>
          <t>Comment ça marche</t>
        </is>
      </c>
      <c r="I2" s="1" t="n"/>
      <c r="J2" s="3" t="n"/>
      <c r="M2" s="1" t="n"/>
      <c r="N2" s="1" t="n"/>
    </row>
    <row r="3" ht="7" customHeight="1">
      <c r="A3" s="1" t="n"/>
      <c r="I3" s="1" t="n"/>
      <c r="M3" s="1" t="n"/>
      <c r="N3" s="1" t="n"/>
    </row>
    <row r="4" ht="26" customHeight="1">
      <c r="A4" s="1" t="n"/>
      <c r="I4" s="1" t="n"/>
      <c r="M4" s="1" t="n"/>
      <c r="N4" s="1" t="n"/>
    </row>
    <row r="5" ht="7" customHeight="1">
      <c r="A5" s="1" t="n"/>
      <c r="B5" s="4" t="n"/>
      <c r="C5" s="4" t="n"/>
      <c r="D5" s="4" t="n"/>
      <c r="E5" s="4" t="n"/>
      <c r="F5" s="4" t="n"/>
      <c r="G5" s="4" t="n"/>
      <c r="H5" s="4" t="n"/>
      <c r="I5" s="1" t="n"/>
      <c r="M5" s="1" t="n"/>
      <c r="N5" s="1" t="n"/>
    </row>
    <row r="6" ht="26" customHeight="1">
      <c r="A6" s="1" t="n"/>
      <c r="B6" s="30" t="inlineStr">
        <is>
          <t>Trois gestes, et un retour immédiat à chaque réponse.</t>
        </is>
      </c>
      <c r="I6" s="1" t="n"/>
      <c r="M6" s="1" t="n"/>
      <c r="N6" s="1" t="n"/>
    </row>
    <row r="7" ht="7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26" customHeight="1">
      <c r="A8" s="1" t="n"/>
      <c r="B8" s="31" t="inlineStr">
        <is>
          <t>Le Zinc de Léon, depuis 1958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20" t="n"/>
      <c r="M8" s="1" t="n"/>
      <c r="N8" s="1" t="n"/>
    </row>
    <row r="9" ht="7" customHeight="1">
      <c r="A9" s="1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5" t="n"/>
      <c r="M9" s="1" t="n"/>
      <c r="N9" s="1" t="n"/>
    </row>
    <row r="10" ht="26" customHeight="1">
      <c r="A10" s="1" t="n"/>
      <c r="B10" s="32" t="inlineStr">
        <is>
          <t>Léon a ouvert son zinc en 1958. Sa petite-fille Camille a repris la brasserie en 2019. Excel est son outil de tous les jours : elle y fait ses achats, sa carte et ses marges, ses stocks, son planning et sa caisse. C'est avec elle que tu vas apprendre.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4" t="n"/>
      <c r="M10" s="1" t="n"/>
      <c r="N10" s="1" t="n"/>
    </row>
    <row r="11" ht="7" customHeight="1">
      <c r="A11" s="1" t="n"/>
      <c r="B11" s="35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4" t="n"/>
      <c r="M11" s="1" t="n"/>
      <c r="N11" s="1" t="n"/>
    </row>
    <row r="12" ht="26" customHeight="1">
      <c r="A12" s="1" t="n"/>
      <c r="B12" s="36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8" t="n"/>
      <c r="M12" s="1" t="n"/>
      <c r="N12" s="1" t="n"/>
    </row>
    <row r="13" ht="7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6" customHeight="1">
      <c r="A14" s="1" t="n"/>
      <c r="B14" s="37" t="inlineStr">
        <is>
          <t>Achats</t>
        </is>
      </c>
      <c r="C14" s="1" t="n"/>
      <c r="D14" s="37" t="inlineStr">
        <is>
          <t>Carte &amp; marges</t>
        </is>
      </c>
      <c r="E14" s="1" t="n"/>
      <c r="F14" s="37" t="inlineStr">
        <is>
          <t>Stocks</t>
        </is>
      </c>
      <c r="G14" s="1" t="n"/>
      <c r="H14" s="37" t="inlineStr">
        <is>
          <t>Planning</t>
        </is>
      </c>
      <c r="I14" s="1" t="n"/>
      <c r="J14" s="37" t="inlineStr">
        <is>
          <t>Caisse</t>
        </is>
      </c>
      <c r="K14" s="1" t="n"/>
      <c r="L14" s="37" t="inlineStr">
        <is>
          <t>Bons de commande</t>
        </is>
      </c>
      <c r="M14" s="1" t="n"/>
      <c r="N14" s="1" t="n"/>
    </row>
    <row r="15" ht="7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26" customHeight="1">
      <c r="A16" s="1" t="n"/>
      <c r="B16" s="38" t="n"/>
      <c r="C16" s="19" t="n"/>
      <c r="D16" s="20" t="n"/>
      <c r="E16" s="1" t="n"/>
      <c r="F16" s="38" t="n"/>
      <c r="G16" s="19" t="n"/>
      <c r="H16" s="20" t="n"/>
      <c r="I16" s="1" t="n"/>
      <c r="J16" s="38" t="n"/>
      <c r="K16" s="19" t="n"/>
      <c r="L16" s="20" t="n"/>
      <c r="M16" s="1" t="n"/>
      <c r="N16" s="1" t="n"/>
    </row>
    <row r="17" ht="7" customHeight="1">
      <c r="A17" s="1" t="n"/>
      <c r="B17" s="35" t="n"/>
      <c r="C17" s="33" t="n"/>
      <c r="D17" s="34" t="n"/>
      <c r="E17" s="1" t="n"/>
      <c r="F17" s="35" t="n"/>
      <c r="G17" s="33" t="n"/>
      <c r="H17" s="34" t="n"/>
      <c r="I17" s="1" t="n"/>
      <c r="J17" s="35" t="n"/>
      <c r="K17" s="33" t="n"/>
      <c r="L17" s="34" t="n"/>
      <c r="M17" s="1" t="n"/>
      <c r="N17" s="1" t="n"/>
    </row>
    <row r="18" ht="26" customHeight="1">
      <c r="A18" s="1" t="n"/>
      <c r="B18" s="35" t="n"/>
      <c r="C18" s="33" t="n"/>
      <c r="D18" s="34" t="n"/>
      <c r="E18" s="1" t="n"/>
      <c r="F18" s="35" t="n"/>
      <c r="G18" s="33" t="n"/>
      <c r="H18" s="34" t="n"/>
      <c r="I18" s="1" t="n"/>
      <c r="J18" s="35" t="n"/>
      <c r="K18" s="33" t="n"/>
      <c r="L18" s="34" t="n"/>
      <c r="M18" s="1" t="n"/>
      <c r="N18" s="1" t="n"/>
    </row>
    <row r="19" ht="7" customHeight="1">
      <c r="A19" s="1" t="n"/>
      <c r="B19" s="23" t="n"/>
      <c r="C19" s="24" t="n"/>
      <c r="D19" s="25" t="n"/>
      <c r="E19" s="1" t="n"/>
      <c r="F19" s="23" t="n"/>
      <c r="G19" s="24" t="n"/>
      <c r="H19" s="25" t="n"/>
      <c r="I19" s="1" t="n"/>
      <c r="J19" s="23" t="n"/>
      <c r="K19" s="24" t="n"/>
      <c r="L19" s="25" t="n"/>
      <c r="M19" s="1" t="n"/>
      <c r="N19" s="1" t="n"/>
    </row>
    <row r="20" ht="26" customHeight="1">
      <c r="A20" s="1" t="n"/>
      <c r="B20" s="39" t="inlineStr">
        <is>
          <t>1 · Lis</t>
        </is>
      </c>
      <c r="C20" s="33" t="n"/>
      <c r="D20" s="34" t="n"/>
      <c r="E20" s="1" t="n"/>
      <c r="F20" s="39" t="inlineStr">
        <is>
          <t>2 · Fais</t>
        </is>
      </c>
      <c r="G20" s="33" t="n"/>
      <c r="H20" s="34" t="n"/>
      <c r="I20" s="1" t="n"/>
      <c r="J20" s="39" t="inlineStr">
        <is>
          <t>3 · Vérifie</t>
        </is>
      </c>
      <c r="K20" s="33" t="n"/>
      <c r="L20" s="34" t="n"/>
      <c r="M20" s="1" t="n"/>
      <c r="N20" s="1" t="n"/>
    </row>
    <row r="21" ht="7" customHeight="1">
      <c r="A21" s="1" t="n"/>
      <c r="B21" s="23" t="n"/>
      <c r="C21" s="24" t="n"/>
      <c r="D21" s="25" t="n"/>
      <c r="E21" s="1" t="n"/>
      <c r="F21" s="23" t="n"/>
      <c r="G21" s="24" t="n"/>
      <c r="H21" s="25" t="n"/>
      <c r="I21" s="1" t="n"/>
      <c r="J21" s="23" t="n"/>
      <c r="K21" s="24" t="n"/>
      <c r="L21" s="25" t="n"/>
      <c r="M21" s="1" t="n"/>
      <c r="N21" s="1" t="n"/>
    </row>
    <row r="22" ht="26" customHeight="1">
      <c r="A22" s="1" t="n"/>
      <c r="B22" s="40" t="inlineStr">
        <is>
          <t>Chaque défi raconte une scène de la brasserie, puis pose quelques questions courtes.</t>
        </is>
      </c>
      <c r="C22" s="33" t="n"/>
      <c r="D22" s="34" t="n"/>
      <c r="E22" s="1" t="n"/>
      <c r="F22" s="40" t="inlineStr">
        <is>
          <t>Réponds dans les cases à bordure verte, avec des formules : jamais de résultat tapé à la main.</t>
        </is>
      </c>
      <c r="G22" s="33" t="n"/>
      <c r="H22" s="34" t="n"/>
      <c r="I22" s="1" t="n"/>
      <c r="J22" s="40" t="inlineStr">
        <is>
          <t>Le contrôle te répond tout de suite. Tu peux recommencer autant que tu veux.</t>
        </is>
      </c>
      <c r="K22" s="33" t="n"/>
      <c r="L22" s="34" t="n"/>
      <c r="M22" s="1" t="n"/>
      <c r="N22" s="1" t="n"/>
    </row>
    <row r="23" ht="7" customHeight="1">
      <c r="A23" s="1" t="n"/>
      <c r="B23" s="35" t="n"/>
      <c r="C23" s="33" t="n"/>
      <c r="D23" s="34" t="n"/>
      <c r="E23" s="1" t="n"/>
      <c r="F23" s="35" t="n"/>
      <c r="G23" s="33" t="n"/>
      <c r="H23" s="34" t="n"/>
      <c r="I23" s="1" t="n"/>
      <c r="J23" s="35" t="n"/>
      <c r="K23" s="33" t="n"/>
      <c r="L23" s="34" t="n"/>
      <c r="M23" s="1" t="n"/>
      <c r="N23" s="1" t="n"/>
    </row>
    <row r="24" ht="26" customHeight="1">
      <c r="A24" s="1" t="n"/>
      <c r="B24" s="36" t="n"/>
      <c r="C24" s="27" t="n"/>
      <c r="D24" s="28" t="n"/>
      <c r="E24" s="1" t="n"/>
      <c r="F24" s="36" t="n"/>
      <c r="G24" s="27" t="n"/>
      <c r="H24" s="28" t="n"/>
      <c r="I24" s="1" t="n"/>
      <c r="J24" s="36" t="n"/>
      <c r="K24" s="27" t="n"/>
      <c r="L24" s="28" t="n"/>
      <c r="M24" s="1" t="n"/>
      <c r="N24" s="1" t="n"/>
    </row>
    <row r="25" ht="7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26" customHeight="1">
      <c r="A26" s="1" t="n"/>
      <c r="B26" s="41" t="inlineStr">
        <is>
          <t>Le point de départ de tout</t>
        </is>
      </c>
      <c r="G26" s="1" t="n"/>
      <c r="H26" s="38" t="n"/>
      <c r="I26" s="19" t="n"/>
      <c r="J26" s="19" t="n"/>
      <c r="K26" s="19" t="n"/>
      <c r="L26" s="20" t="n"/>
      <c r="M26" s="1" t="n"/>
      <c r="N26" s="1" t="n"/>
    </row>
    <row r="27" ht="7" customHeight="1">
      <c r="A27" s="1" t="n"/>
      <c r="B27" s="42" t="n"/>
      <c r="C27" s="42" t="n"/>
      <c r="D27" s="42" t="n"/>
      <c r="E27" s="42" t="n"/>
      <c r="F27" s="42" t="n"/>
      <c r="G27" s="1" t="n"/>
      <c r="H27" s="35" t="n"/>
      <c r="I27" s="33" t="n"/>
      <c r="J27" s="33" t="n"/>
      <c r="K27" s="33" t="n"/>
      <c r="L27" s="34" t="n"/>
      <c r="M27" s="1" t="n"/>
      <c r="N27" s="1" t="n"/>
    </row>
    <row r="28" ht="26" customHeight="1">
      <c r="A28" s="1" t="n"/>
      <c r="B28" s="43" t="inlineStr">
        <is>
          <t>Un tableau structuré</t>
        </is>
      </c>
      <c r="G28" s="1" t="n"/>
      <c r="H28" s="35" t="n"/>
      <c r="I28" s="33" t="n"/>
      <c r="J28" s="33" t="n"/>
      <c r="K28" s="33" t="n"/>
      <c r="L28" s="34" t="n"/>
      <c r="M28" s="1" t="n"/>
      <c r="N28" s="1" t="n"/>
    </row>
    <row r="29" ht="7" customHeight="1">
      <c r="A29" s="1" t="n"/>
      <c r="B29" s="42" t="n"/>
      <c r="C29" s="42" t="n"/>
      <c r="D29" s="42" t="n"/>
      <c r="E29" s="42" t="n"/>
      <c r="F29" s="42" t="n"/>
      <c r="G29" s="1" t="n"/>
      <c r="H29" s="35" t="n"/>
      <c r="I29" s="33" t="n"/>
      <c r="J29" s="33" t="n"/>
      <c r="K29" s="33" t="n"/>
      <c r="L29" s="34" t="n"/>
      <c r="M29" s="1" t="n"/>
      <c r="N29" s="1" t="n"/>
    </row>
    <row r="30" ht="26" customHeight="1">
      <c r="A30" s="1" t="n"/>
      <c r="B30" s="44" t="inlineStr">
        <is>
          <t>Toutes les données de ce carnet sont des tableaux Excel. Ils portent un nom, grandissent tout seuls et rendent les formules lisibles : Achats[Montant HT] plutôt que F13:F20.</t>
        </is>
      </c>
      <c r="G30" s="1" t="n"/>
      <c r="H30" s="35" t="n"/>
      <c r="I30" s="33" t="n"/>
      <c r="J30" s="33" t="n"/>
      <c r="K30" s="33" t="n"/>
      <c r="L30" s="34" t="n"/>
      <c r="M30" s="1" t="n"/>
      <c r="N30" s="1" t="n"/>
    </row>
    <row r="31" ht="7" customHeight="1">
      <c r="A31" s="1" t="n"/>
      <c r="G31" s="1" t="n"/>
      <c r="H31" s="35" t="n"/>
      <c r="I31" s="33" t="n"/>
      <c r="J31" s="33" t="n"/>
      <c r="K31" s="33" t="n"/>
      <c r="L31" s="34" t="n"/>
      <c r="M31" s="1" t="n"/>
      <c r="N31" s="1" t="n"/>
    </row>
    <row r="32" ht="26" customHeight="1">
      <c r="A32" s="1" t="n"/>
      <c r="G32" s="1" t="n"/>
      <c r="H32" s="36" t="n"/>
      <c r="I32" s="27" t="n"/>
      <c r="J32" s="27" t="n"/>
      <c r="K32" s="27" t="n"/>
      <c r="L32" s="28" t="n"/>
      <c r="M32" s="1" t="n"/>
      <c r="N32" s="1" t="n"/>
    </row>
    <row r="33" ht="7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6" customHeight="1">
      <c r="A34" s="1" t="n"/>
      <c r="B34" s="45" t="inlineStr">
        <is>
          <t>✔</t>
        </is>
      </c>
      <c r="E34" s="1" t="n"/>
      <c r="F34" s="46" t="inlineStr">
        <is>
          <t>✘ valeur</t>
        </is>
      </c>
      <c r="I34" s="1" t="n"/>
      <c r="J34" s="46" t="inlineStr">
        <is>
          <t>✘ formule</t>
        </is>
      </c>
      <c r="M34" s="1" t="n"/>
      <c r="N34" s="1" t="n"/>
    </row>
    <row r="35" ht="7" customHeight="1">
      <c r="A35" s="1" t="n"/>
      <c r="B35" s="12" t="n"/>
      <c r="C35" s="12" t="n"/>
      <c r="D35" s="12" t="n"/>
      <c r="E35" s="1" t="n"/>
      <c r="F35" s="47" t="n"/>
      <c r="G35" s="47" t="n"/>
      <c r="H35" s="47" t="n"/>
      <c r="I35" s="1" t="n"/>
      <c r="J35" s="47" t="n"/>
      <c r="K35" s="47" t="n"/>
      <c r="L35" s="47" t="n"/>
      <c r="M35" s="1" t="n"/>
      <c r="N35" s="1" t="n"/>
    </row>
    <row r="36" ht="26" customHeight="1">
      <c r="A36" s="1" t="n"/>
      <c r="B36" s="48" t="inlineStr">
        <is>
          <t>C'est juste.</t>
        </is>
      </c>
      <c r="E36" s="1" t="n"/>
      <c r="F36" s="49" t="inlineStr">
        <is>
          <t>Le résultat n'est pas le bon : l'indice du chef te met sur la piste.</t>
        </is>
      </c>
      <c r="I36" s="1" t="n"/>
      <c r="J36" s="49" t="inlineStr">
        <is>
          <t>Bon résultat, mais tapé à la main : écris une formule.</t>
        </is>
      </c>
      <c r="M36" s="1" t="n"/>
      <c r="N36" s="1" t="n"/>
    </row>
    <row r="37" ht="7" customHeight="1">
      <c r="A37" s="1" t="n"/>
      <c r="E37" s="1" t="n"/>
      <c r="I37" s="1" t="n"/>
      <c r="M37" s="1" t="n"/>
      <c r="N37" s="1" t="n"/>
    </row>
    <row r="38" ht="26" customHeight="1">
      <c r="A38" s="1" t="n"/>
      <c r="E38" s="1" t="n"/>
      <c r="I38" s="1" t="n"/>
      <c r="M38" s="1" t="n"/>
      <c r="N38" s="1" t="n"/>
    </row>
    <row r="39" ht="7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26" customHeight="1">
      <c r="A40" s="1" t="n"/>
      <c r="B40" s="50" t="inlineStr">
        <is>
          <t>Un indice ?</t>
        </is>
      </c>
      <c r="G40" s="1" t="n"/>
      <c r="H40" s="50" t="inlineStr">
        <is>
          <t>Ton grade</t>
        </is>
      </c>
      <c r="M40" s="1" t="n"/>
      <c r="N40" s="1" t="n"/>
    </row>
    <row r="41" ht="7" customHeight="1">
      <c r="A41" s="1" t="n"/>
      <c r="B41" s="14" t="n"/>
      <c r="C41" s="14" t="n"/>
      <c r="D41" s="14" t="n"/>
      <c r="E41" s="14" t="n"/>
      <c r="F41" s="14" t="n"/>
      <c r="G41" s="1" t="n"/>
      <c r="H41" s="14" t="n"/>
      <c r="I41" s="14" t="n"/>
      <c r="J41" s="14" t="n"/>
      <c r="K41" s="14" t="n"/>
      <c r="L41" s="14" t="n"/>
      <c r="M41" s="1" t="n"/>
      <c r="N41" s="1" t="n"/>
    </row>
    <row r="42" ht="26" customHeight="1">
      <c r="A42" s="1" t="n"/>
      <c r="B42" s="51" t="inlineStr">
        <is>
          <t>Dans chaque défi, choisis « Voir » dans la colonne Indice. Il coûte 1 point : à toi de juger si tu en as besoin.</t>
        </is>
      </c>
      <c r="G42" s="1" t="n"/>
      <c r="H42" s="51" t="inlineStr">
        <is>
          <t>Commis, puis Chef de partie dès 50 % du score, puis Chef de cuisine dès 80 %.</t>
        </is>
      </c>
      <c r="M42" s="1" t="n"/>
      <c r="N42" s="1" t="n"/>
    </row>
    <row r="43" ht="7" customHeight="1">
      <c r="A43" s="1" t="n"/>
      <c r="G43" s="1" t="n"/>
      <c r="M43" s="1" t="n"/>
      <c r="N43" s="1" t="n"/>
    </row>
    <row r="44" ht="26" customHeight="1">
      <c r="A44" s="1" t="n"/>
      <c r="G44" s="1" t="n"/>
      <c r="M44" s="1" t="n"/>
      <c r="N44" s="1" t="n"/>
    </row>
    <row r="45" ht="7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6" customHeight="1">
      <c r="A46" s="1" t="n"/>
      <c r="B46" s="52" t="inlineStr">
        <is>
          <t>Avant de commencer</t>
        </is>
      </c>
      <c r="C46" s="53" t="n"/>
      <c r="D46" s="53" t="n"/>
      <c r="E46" s="53" t="n"/>
      <c r="F46" s="53" t="n"/>
      <c r="G46" s="53" t="n"/>
      <c r="H46" s="54" t="n"/>
      <c r="I46" s="1" t="n"/>
      <c r="J46" s="55" t="inlineStr">
        <is>
          <t>Ici, des formules classiques. Le carnet complet ajoute RECHERCHEX : il demande Excel 2021, 2024 ou Microsoft 365.</t>
        </is>
      </c>
      <c r="K46" s="19" t="n"/>
      <c r="L46" s="20" t="n"/>
      <c r="M46" s="1" t="n"/>
      <c r="N46" s="1" t="n"/>
    </row>
    <row r="47" ht="7" customHeight="1">
      <c r="A47" s="1" t="n"/>
      <c r="B47" s="56" t="n"/>
      <c r="C47" s="24" t="n"/>
      <c r="D47" s="24" t="n"/>
      <c r="E47" s="24" t="n"/>
      <c r="F47" s="24" t="n"/>
      <c r="G47" s="24" t="n"/>
      <c r="H47" s="57" t="n"/>
      <c r="I47" s="1" t="n"/>
      <c r="J47" s="35" t="n"/>
      <c r="K47" s="33" t="n"/>
      <c r="L47" s="34" t="n"/>
      <c r="M47" s="1" t="n"/>
      <c r="N47" s="1" t="n"/>
    </row>
    <row r="48" ht="26" customHeight="1">
      <c r="A48" s="1" t="n"/>
      <c r="B48" s="58" t="inlineStr">
        <is>
          <t>Si Excel affiche un bandeau jaune, clique sur « Activer la modification » : sans cela, les contrôles ne se calculent pas.</t>
        </is>
      </c>
      <c r="C48" s="33" t="n"/>
      <c r="D48" s="33" t="n"/>
      <c r="E48" s="33" t="n"/>
      <c r="F48" s="33" t="n"/>
      <c r="G48" s="33" t="n"/>
      <c r="H48" s="59" t="n"/>
      <c r="I48" s="1" t="n"/>
      <c r="J48" s="35" t="n"/>
      <c r="K48" s="33" t="n"/>
      <c r="L48" s="34" t="n"/>
      <c r="M48" s="1" t="n"/>
      <c r="N48" s="1" t="n"/>
    </row>
    <row r="49" ht="7" customHeight="1">
      <c r="A49" s="1" t="n"/>
      <c r="B49" s="60" t="n"/>
      <c r="C49" s="33" t="n"/>
      <c r="D49" s="33" t="n"/>
      <c r="E49" s="33" t="n"/>
      <c r="F49" s="33" t="n"/>
      <c r="G49" s="33" t="n"/>
      <c r="H49" s="59" t="n"/>
      <c r="I49" s="1" t="n"/>
      <c r="J49" s="35" t="n"/>
      <c r="K49" s="33" t="n"/>
      <c r="L49" s="34" t="n"/>
      <c r="M49" s="1" t="n"/>
      <c r="N49" s="1" t="n"/>
    </row>
    <row r="50" ht="26" customHeight="1">
      <c r="A50" s="1" t="n"/>
      <c r="B50" s="61" t="n"/>
      <c r="C50" s="62" t="n"/>
      <c r="D50" s="62" t="n"/>
      <c r="E50" s="62" t="n"/>
      <c r="F50" s="62" t="n"/>
      <c r="G50" s="62" t="n"/>
      <c r="H50" s="63" t="n"/>
      <c r="I50" s="1" t="n"/>
      <c r="J50" s="36" t="n"/>
      <c r="K50" s="27" t="n"/>
      <c r="L50" s="28" t="n"/>
      <c r="M50" s="1" t="n"/>
      <c r="N50" s="1" t="n"/>
    </row>
    <row r="51" ht="7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26" customHeight="1">
      <c r="A52" s="1" t="n"/>
      <c r="B52" s="64" t="inlineStr">
        <is>
          <t>Ouvrir la carte des défis  →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1" t="n"/>
      <c r="N52" s="1" t="n"/>
    </row>
    <row r="53" ht="7" customHeight="1">
      <c r="A53" s="1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1" t="n"/>
      <c r="N53" s="1" t="n"/>
    </row>
    <row r="54" ht="26" customHeight="1">
      <c r="A54" s="1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1" t="n"/>
      <c r="N54" s="1" t="n"/>
    </row>
    <row r="55" ht="7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8">
    <mergeCell ref="F20:H20"/>
    <mergeCell ref="H42:L44"/>
    <mergeCell ref="F36:H38"/>
    <mergeCell ref="B6:H6"/>
    <mergeCell ref="J20:L20"/>
    <mergeCell ref="D14"/>
    <mergeCell ref="F14"/>
    <mergeCell ref="H14"/>
    <mergeCell ref="B34:D34"/>
    <mergeCell ref="H40:L40"/>
    <mergeCell ref="J36:L38"/>
    <mergeCell ref="F22:H24"/>
    <mergeCell ref="B52:L54"/>
    <mergeCell ref="B42:F44"/>
    <mergeCell ref="J14"/>
    <mergeCell ref="H26:L32"/>
    <mergeCell ref="J16:L18"/>
    <mergeCell ref="B20:D20"/>
    <mergeCell ref="B8:L8"/>
    <mergeCell ref="B10:L12"/>
    <mergeCell ref="B46:H46"/>
    <mergeCell ref="J22:L24"/>
    <mergeCell ref="B36:D38"/>
    <mergeCell ref="B28:F28"/>
    <mergeCell ref="B2:H4"/>
    <mergeCell ref="B14"/>
    <mergeCell ref="B40:F40"/>
    <mergeCell ref="J46:L50"/>
    <mergeCell ref="L14"/>
    <mergeCell ref="F34:H34"/>
    <mergeCell ref="B16:D18"/>
    <mergeCell ref="B30:F32"/>
    <mergeCell ref="B22:D24"/>
    <mergeCell ref="B48:H50"/>
    <mergeCell ref="J2:L6"/>
    <mergeCell ref="J34:L34"/>
    <mergeCell ref="F16:H18"/>
    <mergeCell ref="B26:F26"/>
  </mergeCells>
  <hyperlinks>
    <hyperlink ref="B52" location="'Menu'!A1" display="Ouvrir la carte des défis  →"/>
  </hyperlink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4D23C"/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7" customWidth="1" style="1" min="2" max="2"/>
    <col width="36" customWidth="1" style="1" min="3" max="3"/>
    <col width="26" customWidth="1" style="1" min="4" max="4"/>
    <col width="11" customWidth="1" style="1" min="5" max="5"/>
    <col width="14" customWidth="1" style="1" min="6" max="6"/>
    <col width="12" customWidth="1" style="1" min="7" max="7"/>
    <col width="2" customWidth="1" style="1" min="8" max="8"/>
    <col width="9" customWidth="1" style="1" min="9" max="16384"/>
  </cols>
  <sheetData>
    <row r="1" ht="26" customHeight="1">
      <c r="A1" s="65" t="n"/>
      <c r="B1" s="65" t="n"/>
      <c r="C1" s="66" t="inlineStr">
        <is>
          <t>←  Accueil</t>
        </is>
      </c>
      <c r="D1" s="65" t="n"/>
      <c r="E1" s="65" t="n"/>
      <c r="F1" s="65" t="n"/>
      <c r="G1" s="67" t="inlineStr">
        <is>
          <t>Défi 1  →</t>
        </is>
      </c>
      <c r="H1" s="65" t="n"/>
    </row>
    <row r="2" ht="30" customHeight="1">
      <c r="A2" s="1" t="n"/>
      <c r="B2" s="68" t="inlineStr">
        <is>
          <t>La carte des défis</t>
        </is>
      </c>
      <c r="C2" s="1" t="n"/>
      <c r="D2" s="1" t="n"/>
      <c r="E2" s="1" t="n"/>
      <c r="F2" s="1" t="n"/>
      <c r="G2" s="1" t="n"/>
      <c r="H2" s="1" t="n"/>
    </row>
    <row r="3" ht="1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6" customHeight="1">
      <c r="A4" s="1" t="n"/>
      <c r="B4" s="69">
        <f>IF(TRIM(D5)="","①  Commence ici : écris ton prénom et ton nom dans la case ci-dessous.",IF(G8&lt;6,HYPERLINK("#'D01'!A1","▶  Commence ici : Défi 1 · La mise en place  →"),HYPERLINK("#Bilan!A1","🎉  Le défi est réussi · voir mon bilan  →")))</f>
        <v/>
      </c>
      <c r="C4" s="70" t="n"/>
      <c r="D4" s="70" t="n"/>
      <c r="E4" s="70" t="n"/>
      <c r="F4" s="70" t="n"/>
      <c r="G4" s="70" t="n"/>
      <c r="H4" s="1" t="n"/>
    </row>
    <row r="5" ht="36" customHeight="1">
      <c r="A5" s="1" t="n"/>
      <c r="B5" s="71">
        <f>IF(TRIM(D5)="","ÉTAPE 1 · Écris ton prénom et ton nom : tes chiffres en dépendent.","✔ Étape 1 faite · bonjour "&amp;TRIM(D5)&amp;" !")</f>
        <v/>
      </c>
      <c r="C5" s="1" t="n"/>
      <c r="D5" s="72" t="inlineStr">
        <is>
          <t>Alex Martin</t>
        </is>
      </c>
      <c r="E5" s="73" t="n"/>
      <c r="F5" s="73" t="n"/>
      <c r="G5" s="74" t="n"/>
      <c r="H5" s="1" t="n"/>
    </row>
    <row r="6" ht="8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75" t="inlineStr">
        <is>
          <t>N°</t>
        </is>
      </c>
      <c r="C7" s="75" t="inlineStr">
        <is>
          <t>Défi</t>
        </is>
      </c>
      <c r="D7" s="75" t="inlineStr">
        <is>
          <t>Bloc</t>
        </is>
      </c>
      <c r="E7" s="75" t="inlineStr">
        <is>
          <t>Durée</t>
        </is>
      </c>
      <c r="F7" s="75" t="inlineStr">
        <is>
          <t>Aller</t>
        </is>
      </c>
      <c r="G7" s="75" t="inlineStr">
        <is>
          <t>Score</t>
        </is>
      </c>
      <c r="H7" s="1" t="n"/>
    </row>
    <row r="8" ht="30" customHeight="1">
      <c r="A8" s="1" t="n"/>
      <c r="B8" s="76" t="n">
        <v>1</v>
      </c>
      <c r="C8" s="77" t="inlineStr">
        <is>
          <t>La mise en place</t>
        </is>
      </c>
      <c r="D8" s="78" t="inlineStr">
        <is>
          <t>Bloc A · Structurer</t>
        </is>
      </c>
      <c r="E8" s="79" t="inlineStr">
        <is>
          <t>10 min</t>
        </is>
      </c>
      <c r="F8" s="80" t="inlineStr">
        <is>
          <t>Y aller →</t>
        </is>
      </c>
      <c r="G8" s="81">
        <f>MAX(0,COUNTIF(_ctl!$C$2:$C$7,"✔")-COUNTIF('D01'!$L$28:$L$33,"Voir"))</f>
        <v/>
      </c>
      <c r="H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</row>
    <row r="10" ht="28" customHeight="1">
      <c r="A10" s="1" t="n"/>
      <c r="B10" s="82" t="inlineStr">
        <is>
          <t>SCORE TOTAL (indices déduits)</t>
        </is>
      </c>
      <c r="C10" s="1" t="n"/>
      <c r="D10" s="1" t="n"/>
      <c r="E10" s="1" t="n"/>
      <c r="F10" s="1" t="n"/>
      <c r="G10" s="83">
        <f>SUM(G8:G8)</f>
        <v/>
      </c>
      <c r="H10" s="1" t="n"/>
    </row>
    <row r="11" ht="8" customHeight="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84" t="inlineStr">
        <is>
          <t>Mon bilan  →</t>
        </is>
      </c>
      <c r="D15" s="1" t="n"/>
      <c r="E15" s="1" t="n"/>
      <c r="F15" s="1" t="n"/>
      <c r="G15" s="1" t="n"/>
      <c r="H15" s="1" t="n"/>
    </row>
    <row r="16">
      <c r="A16" s="1" t="n"/>
      <c r="B16" s="1" t="n"/>
      <c r="C16" s="84" t="inlineStr">
        <is>
          <t>Aide &amp; licence  →</t>
        </is>
      </c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B2:G3"/>
    <mergeCell ref="B5:C5"/>
    <mergeCell ref="B10:F10"/>
    <mergeCell ref="B4:G4"/>
    <mergeCell ref="D5:G5"/>
  </mergeCells>
  <conditionalFormatting sqref="B5:C5">
    <cfRule type="expression" priority="1" dxfId="0">
      <formula>TRIM($D$5)&lt;&gt;""</formula>
    </cfRule>
  </conditionalFormatting>
  <conditionalFormatting sqref="D5:G5">
    <cfRule type="expression" priority="2" dxfId="1">
      <formula>TRIM($D$5)=""</formula>
    </cfRule>
  </conditionalFormatting>
  <hyperlinks>
    <hyperlink ref="C1" location="'Accueil'!A1" display="←  Accueil"/>
    <hyperlink ref="G1" location="'D01'!A1" display="Défi 1  →"/>
    <hyperlink ref="F8" location="'D01'!A1" display="Y aller →"/>
    <hyperlink ref="C15" location="'Bilan'!A1" display="Mon bilan  →"/>
    <hyperlink ref="C16" location="'Aide'!A1" display="Aide &amp; licence  →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11" customWidth="1" style="1" min="2" max="2"/>
    <col width="54" customWidth="1" style="1" min="3" max="3"/>
    <col width="16" customWidth="1" style="1" min="4" max="4"/>
    <col width="16" customWidth="1" style="1" min="5" max="5"/>
    <col width="16" customWidth="1" style="1" min="6" max="6"/>
    <col width="18" customWidth="1" style="1" min="7" max="7"/>
    <col width="34" customWidth="1" style="1" min="8" max="8"/>
    <col width="2" customWidth="1" style="1" min="9" max="9"/>
    <col width="15" customWidth="1" style="1" min="10" max="10"/>
    <col width="2" customWidth="1" style="1" min="11" max="11"/>
    <col width="15" customWidth="1" style="1" min="12" max="12"/>
    <col width="2" customWidth="1" style="1" min="13" max="13"/>
    <col hidden="1" width="9" customWidth="1" style="1" min="14" max="14"/>
    <col width="9" customWidth="1" style="1" min="15" max="16384"/>
  </cols>
  <sheetData>
    <row r="1" ht="26" customHeight="1">
      <c r="A1" s="65" t="n"/>
      <c r="B1" s="65" t="n"/>
      <c r="C1" s="65" t="n"/>
      <c r="D1" s="65" t="n"/>
      <c r="E1" s="85" t="inlineStr">
        <is>
          <t>⌂  Menu</t>
        </is>
      </c>
      <c r="F1" s="65" t="n"/>
      <c r="G1" s="65" t="n"/>
      <c r="H1" s="67" t="inlineStr">
        <is>
          <t>Bilan  →</t>
        </is>
      </c>
      <c r="I1" s="65" t="n"/>
      <c r="J1" s="65" t="n"/>
      <c r="K1" s="65" t="n"/>
      <c r="L1" s="65" t="n"/>
      <c r="M1" s="1" t="n"/>
      <c r="N1" s="86">
        <f>IF(TRIM(Menu!$D$5)="",0,1)</f>
        <v/>
      </c>
    </row>
    <row r="2" ht="26" customHeight="1">
      <c r="A2" s="1" t="n"/>
      <c r="B2" s="87" t="inlineStr">
        <is>
          <t>LE ZINC DE LÉON · DÉFI 01 / 04 · BLOC A · STRUCTURER</t>
        </is>
      </c>
      <c r="C2" s="1" t="n"/>
      <c r="D2" s="1" t="n"/>
      <c r="E2" s="1" t="n"/>
      <c r="F2" s="1" t="n"/>
      <c r="G2" s="88" t="inlineStr">
        <is>
          <t>Aller aux questions  ↓</t>
        </is>
      </c>
      <c r="H2" s="70" t="n"/>
      <c r="I2" s="1" t="n"/>
      <c r="J2" s="1" t="n"/>
      <c r="K2" s="1" t="n"/>
      <c r="L2" s="1" t="n"/>
      <c r="M2" s="1" t="n"/>
    </row>
    <row r="3" ht="44" customHeight="1">
      <c r="A3" s="1" t="n"/>
      <c r="B3" s="89" t="inlineStr">
        <is>
          <t>La mise en place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78" customHeight="1">
      <c r="A4" s="1" t="n"/>
      <c r="B4" s="90" t="inlineStr">
        <is>
          <t>Le Zinc de Léon, c'est trois services par jour et un classeur Excel ouvert en permanence : c'est l'outil de tous les jours de Camille. Ce matin, elle vérifie les achats : tu poses les premiers calculs, comme on prépare ses bacs, proprement et sans rien recopier à la main.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2" customHeight="1">
      <c r="A5" s="1" t="n"/>
      <c r="B5" s="91" t="inlineStr">
        <is>
          <t>« Un chiffre tapé à la main, c'est une erreur qui attend le service du soir. » · Camille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6" customHeight="1"/>
    <row r="7" ht="30" customHeight="1">
      <c r="A7" s="1" t="n"/>
      <c r="B7" s="92">
        <f>IF($N$1=0,HYPERLINK("#Menu!D5","✏️  Pense à écrire ton prénom dans le Menu (étape 1) : clique ici. Tes données seront alors personnalisées.  →"),IF(COUNTIF(J28:J34,"✔")=6,HYPERLINK("#'Bilan'!A1","🎉  Défi réussi ! Passe à ton bilan  →"),COUNTIF(J28:J34,"✔")&amp;" / 6 questions réussies · continue, une réponse à la fois."))</f>
        <v/>
      </c>
      <c r="C7" s="70" t="n"/>
      <c r="D7" s="70" t="n"/>
      <c r="E7" s="70" t="n"/>
      <c r="F7" s="70" t="n"/>
      <c r="G7" s="70" t="n"/>
      <c r="H7" s="70" t="n"/>
      <c r="I7" s="1" t="n"/>
      <c r="J7" s="1" t="n"/>
      <c r="K7" s="1" t="n"/>
      <c r="L7" s="1" t="n"/>
      <c r="M7" s="1" t="n"/>
    </row>
    <row r="8" ht="5" customHeight="1"/>
    <row r="9" ht="44" customHeight="1">
      <c r="A9" s="1" t="n"/>
      <c r="B9" s="93" t="inlineStr">
        <is>
          <t>RAPPEL</t>
        </is>
      </c>
      <c r="C9" s="94" t="inlineStr">
        <is>
          <t>Les données sont dans des tableaux Excel : clique sur une colonne et Excel écrit Achats[Montant HT] pour toi. Une formule commence toujours par =. Un nom (TauxTVA) évite de retaper un taux.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8" customHeight="1"/>
    <row r="11">
      <c r="A11" s="1" t="n"/>
      <c r="B11" s="95" t="inlineStr">
        <is>
          <t>DONNÉES · Les achats du matin (les quantités sont propres à ton carnet)   ▦ tableau « Achats »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96" t="inlineStr">
        <is>
          <t>Produit</t>
        </is>
      </c>
      <c r="D12" s="96" t="inlineStr">
        <is>
          <t>Quantité (kg)</t>
        </is>
      </c>
      <c r="E12" s="96" t="inlineStr">
        <is>
          <t>Prix au kg</t>
        </is>
      </c>
      <c r="F12" s="96" t="inlineStr">
        <is>
          <t>Montant HT</t>
        </is>
      </c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97" t="inlineStr">
        <is>
          <t>Pommes de terre</t>
        </is>
      </c>
      <c r="D13" s="98">
        <f>25+MOD(_ref!$Z$1,5)</f>
        <v/>
      </c>
      <c r="E13" s="99" t="n">
        <v>1.1</v>
      </c>
      <c r="F13" s="100">
        <f>ROUND(Achats[[#This Row],[Quantité (kg)]]*Achats[[#This Row],[Prix au kg]],2)</f>
        <v/>
      </c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97" t="inlineStr">
        <is>
          <t>Oignons</t>
        </is>
      </c>
      <c r="D14" s="98">
        <f>10+MOD(_ref!$Z$1,7)</f>
        <v/>
      </c>
      <c r="E14" s="99" t="n">
        <v>1.4</v>
      </c>
      <c r="F14" s="100">
        <f>ROUND(Achats[[#This Row],[Quantité (kg)]]*Achats[[#This Row],[Prix au kg]],2)</f>
        <v/>
      </c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97" t="inlineStr">
        <is>
          <t>Carottes</t>
        </is>
      </c>
      <c r="D15" s="98">
        <f>12+MOD(_ref!$Z$1,9)</f>
        <v/>
      </c>
      <c r="E15" s="99" t="n">
        <v>1.25</v>
      </c>
      <c r="F15" s="100">
        <f>ROUND(Achats[[#This Row],[Quantité (kg)]]*Achats[[#This Row],[Prix au kg]],2)</f>
        <v/>
      </c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97" t="inlineStr">
        <is>
          <t>Poulet fermier</t>
        </is>
      </c>
      <c r="D16" s="98">
        <f>18+MOD(_ref!$Z$1,11)</f>
        <v/>
      </c>
      <c r="E16" s="99" t="n">
        <v>7.8</v>
      </c>
      <c r="F16" s="100">
        <f>ROUND(Achats[[#This Row],[Quantité (kg)]]*Achats[[#This Row],[Prix au kg]],2)</f>
        <v/>
      </c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97" t="inlineStr">
        <is>
          <t>Entrecôte</t>
        </is>
      </c>
      <c r="D17" s="98">
        <f>9+MOD(_ref!$Z$1,13)</f>
        <v/>
      </c>
      <c r="E17" s="99" t="n">
        <v>21.5</v>
      </c>
      <c r="F17" s="100">
        <f>ROUND(Achats[[#This Row],[Quantité (kg)]]*Achats[[#This Row],[Prix au kg]],2)</f>
        <v/>
      </c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97" t="inlineStr">
        <is>
          <t>Beurre</t>
        </is>
      </c>
      <c r="D18" s="98">
        <f>6+MOD(_ref!$Z$1,6)</f>
        <v/>
      </c>
      <c r="E18" s="99" t="n">
        <v>9.199999999999999</v>
      </c>
      <c r="F18" s="100">
        <f>ROUND(Achats[[#This Row],[Quantité (kg)]]*Achats[[#This Row],[Prix au kg]],2)</f>
        <v/>
      </c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97" t="inlineStr">
        <is>
          <t>Crème</t>
        </is>
      </c>
      <c r="D19" s="98">
        <f>8+MOD(_ref!$Z$1,8)</f>
        <v/>
      </c>
      <c r="E19" s="99" t="n">
        <v>4.1</v>
      </c>
      <c r="F19" s="100">
        <f>ROUND(Achats[[#This Row],[Quantité (kg)]]*Achats[[#This Row],[Prix au kg]],2)</f>
        <v/>
      </c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97" t="inlineStr">
        <is>
          <t>Champignons</t>
        </is>
      </c>
      <c r="D20" s="98">
        <f>7+MOD(_ref!$Z$1,10)</f>
        <v/>
      </c>
      <c r="E20" s="99" t="n">
        <v>6.3</v>
      </c>
      <c r="F20" s="100">
        <f>ROUND(Achats[[#This Row],[Quantité (kg)]]*Achats[[#This Row],[Prix au kg]],2)</f>
        <v/>
      </c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01" t="inlineStr">
        <is>
          <t>TVA applicable (denrées)</t>
        </is>
      </c>
      <c r="D22" s="102">
        <f>'Paramètres'!$C$7</f>
        <v/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03" t="inlineStr">
        <is>
          <t>→ Aller à la cellule du taux de TVA (feuille Paramètres)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4" customHeight="1"/>
    <row r="25" ht="64" customHeight="1">
      <c r="A25" s="1" t="n"/>
      <c r="B25" s="104" t="inlineStr">
        <is>
          <t>💡</t>
        </is>
      </c>
      <c r="C25" s="105">
        <f>IF(COUNTIF(L28:L33,"Voir")=0,"Indice : aucun demandé. Pour en lire un, choisis « Voir » dans la case ▾ Indice de la question (−1 point) : il s'affichera ici.",IF(L28="Voir","Question 1 : SOMME s'écrit =SOMME( puis tu cliques sur la colonne Montant HT du tableau Achats : Excel écrit tout seul Achats[Montant HT].   ","")&amp;IF(L29="Voir","Question 2 : MOYENNE fonctionne comme SOMME : =MOYENNE(Achats[Montant HT]).   ","")&amp;IF(L30="Voir","Question 3 : MAX renvoie le plus grand nombre d'une plage.   ","")&amp;IF(L31="Voir","Question 4 : NB compte les cellules qui contiennent un nombre : =NB(plage).   ","")&amp;IF(L32="Voir","Question 5 : Lien sous le tableau, feuille Paramètres : clique sur la cellule à bordure verte, tape TauxTVA dans la zone Nom (à gauche de la barre de formule), puis Entrée.   ","")&amp;IF(L33="Voir","Question 6 : Ton total HT est dans la case de la question 1. Multiplie-le par (1 + TauxTVA).   ",""))</f>
        <v/>
      </c>
      <c r="D25" s="106" t="n"/>
      <c r="E25" s="106" t="n"/>
      <c r="F25" s="106" t="n"/>
      <c r="G25" s="106" t="n"/>
      <c r="H25" s="107" t="n"/>
      <c r="I25" s="1" t="n"/>
      <c r="J25" s="1" t="n"/>
      <c r="K25" s="1" t="n"/>
      <c r="L25" s="1" t="n"/>
      <c r="M25" s="1" t="n"/>
    </row>
    <row r="26" ht="5" customHeight="1"/>
    <row r="27">
      <c r="A27" s="1" t="n"/>
      <c r="B27" s="108" t="inlineStr">
        <is>
          <t>N°</t>
        </is>
      </c>
      <c r="C27" s="109" t="inlineStr">
        <is>
          <t>À TOI DE JOUER</t>
        </is>
      </c>
      <c r="D27" s="1" t="n"/>
      <c r="E27" s="1" t="n"/>
      <c r="F27" s="1" t="n"/>
      <c r="G27" s="108" t="inlineStr">
        <is>
          <t>TA RÉPONSE</t>
        </is>
      </c>
      <c r="H27" s="108" t="inlineStr">
        <is>
          <t>ATTENDU</t>
        </is>
      </c>
      <c r="I27" s="14" t="n"/>
      <c r="J27" s="108" t="inlineStr">
        <is>
          <t>CONTRÔLE</t>
        </is>
      </c>
      <c r="K27" s="1" t="n"/>
      <c r="L27" s="75" t="inlineStr">
        <is>
          <t>INDICE ▾ (−1 pt)</t>
        </is>
      </c>
      <c r="M27" s="1" t="n"/>
    </row>
    <row r="28" ht="60" customHeight="1">
      <c r="A28" s="1" t="n"/>
      <c r="B28" s="76">
        <f>IF($J28="✔","✔",1)</f>
        <v/>
      </c>
      <c r="C28" s="110" t="inlineStr">
        <is>
          <t>Calcule le total HT des achats du matin (somme de la colonne Montant HT du tableau Achats). Écris une formule, pas le résultat.</t>
        </is>
      </c>
      <c r="D28" s="111" t="n"/>
      <c r="E28" s="111" t="n"/>
      <c r="F28" s="111" t="n"/>
      <c r="G28" s="112">
        <f>SUM(Achats[Montant HT])</f>
        <v/>
      </c>
      <c r="H28" s="113">
        <f>IF(LEFT(J28,1)="✘",_ctl!D2,"Un montant en € (formule)")</f>
        <v/>
      </c>
      <c r="I28" s="1" t="n"/>
      <c r="J28" s="114">
        <f>_ctl!C2</f>
        <v/>
      </c>
      <c r="K28" s="1" t="n"/>
      <c r="L28" s="115" t="inlineStr">
        <is>
          <t>▾ Indice</t>
        </is>
      </c>
      <c r="M28" s="1" t="n"/>
    </row>
    <row r="29" ht="60" customHeight="1">
      <c r="A29" s="1" t="n"/>
      <c r="B29" s="76">
        <f>IF($J29="✔","✔",2)</f>
        <v/>
      </c>
      <c r="C29" s="110" t="inlineStr">
        <is>
          <t>Quel est le montant moyen par produit ?</t>
        </is>
      </c>
      <c r="D29" s="111" t="n"/>
      <c r="E29" s="111" t="n"/>
      <c r="F29" s="111" t="n"/>
      <c r="G29" s="112">
        <f>AVERAGE(Achats[Montant HT])</f>
        <v/>
      </c>
      <c r="H29" s="113">
        <f>IF(LEFT(J29,1)="✘",_ctl!D3,"Un montant en € (formule)")</f>
        <v/>
      </c>
      <c r="I29" s="1" t="n"/>
      <c r="J29" s="114">
        <f>_ctl!C3</f>
        <v/>
      </c>
      <c r="K29" s="1" t="n"/>
      <c r="L29" s="115" t="inlineStr">
        <is>
          <t>▾ Indice</t>
        </is>
      </c>
      <c r="M29" s="1" t="n"/>
    </row>
    <row r="30" ht="60" customHeight="1">
      <c r="A30" s="1" t="n"/>
      <c r="B30" s="76">
        <f>IF($J30="✔","✔",3)</f>
        <v/>
      </c>
      <c r="C30" s="110" t="inlineStr">
        <is>
          <t>Quel est le montant le plus élevé ?</t>
        </is>
      </c>
      <c r="D30" s="111" t="n"/>
      <c r="E30" s="111" t="n"/>
      <c r="F30" s="111" t="n"/>
      <c r="G30" s="112">
        <f>MAX(Achats[Montant HT])</f>
        <v/>
      </c>
      <c r="H30" s="113">
        <f>IF(LEFT(J30,1)="✘",_ctl!D4,"Un montant en € (formule)")</f>
        <v/>
      </c>
      <c r="I30" s="1" t="n"/>
      <c r="J30" s="114">
        <f>_ctl!C4</f>
        <v/>
      </c>
      <c r="K30" s="1" t="n"/>
      <c r="L30" s="115" t="inlineStr">
        <is>
          <t>▾ Indice</t>
        </is>
      </c>
      <c r="M30" s="1" t="n"/>
    </row>
    <row r="31" ht="60" customHeight="1">
      <c r="A31" s="1" t="n"/>
      <c r="B31" s="76">
        <f>IF($J31="✔","✔",4)</f>
        <v/>
      </c>
      <c r="C31" s="110" t="inlineStr">
        <is>
          <t>Combien de produits ont été achetés ? (compte les lignes, ne tape pas 8)</t>
        </is>
      </c>
      <c r="D31" s="111" t="n"/>
      <c r="E31" s="111" t="n"/>
      <c r="F31" s="111" t="n"/>
      <c r="G31" s="116">
        <f>COUNT(Achats[Montant HT])</f>
        <v/>
      </c>
      <c r="H31" s="113">
        <f>IF(LEFT(J31,1)="✘",_ctl!D5,"Un nombre (formule)")</f>
        <v/>
      </c>
      <c r="I31" s="1" t="n"/>
      <c r="J31" s="114">
        <f>_ctl!C5</f>
        <v/>
      </c>
      <c r="K31" s="1" t="n"/>
      <c r="L31" s="115" t="inlineStr">
        <is>
          <t>▾ Indice</t>
        </is>
      </c>
      <c r="M31" s="1" t="n"/>
    </row>
    <row r="32" ht="60" customHeight="1">
      <c r="A32" s="1" t="n"/>
      <c r="B32" s="76">
        <f>IF($J32="✔","✔",5)</f>
        <v/>
      </c>
      <c r="C32" s="110" t="inlineStr">
        <is>
          <t>Bonne pratique : donne le nom TauxTVA à la cellule du taux de TVA. Clique sur le lien sous le tableau : il t'emmène sur la feuille Paramètres, où tu sélectionnes la cellule à bordure verte et tapes le nom dans la zone Nom (à gauche de la barre de formule). Rien à écrire dans la case.</t>
        </is>
      </c>
      <c r="D32" s="111" t="n"/>
      <c r="E32" s="111" t="n"/>
      <c r="F32" s="111" t="n"/>
      <c r="G32" s="117" t="inlineStr">
        <is>
          <t>voir zone Nom</t>
        </is>
      </c>
      <c r="H32" s="113">
        <f>IF(LEFT(J32,1)="✘",_ctl!D6,"La cellule du taux nommée TauxTVA")</f>
        <v/>
      </c>
      <c r="I32" s="1" t="n"/>
      <c r="J32" s="114">
        <f>_ctl!C6</f>
        <v/>
      </c>
      <c r="K32" s="1" t="n"/>
      <c r="L32" s="115" t="inlineStr">
        <is>
          <t>▾ Indice</t>
        </is>
      </c>
      <c r="M32" s="1" t="n"/>
    </row>
    <row r="33" ht="60" customHeight="1">
      <c r="A33" s="1" t="n"/>
      <c r="B33" s="76">
        <f>IF($J33="✔","✔",6)</f>
        <v/>
      </c>
      <c r="C33" s="110" t="inlineStr">
        <is>
          <t>Calcule le total TTC avec le nom : total HT × (1 + TauxTVA). Un nom parle mieux qu'une adresse comme D20.</t>
        </is>
      </c>
      <c r="D33" s="111" t="n"/>
      <c r="E33" s="111" t="n"/>
      <c r="F33" s="111" t="n"/>
      <c r="G33" s="112">
        <f>G28*(1+TauxTVA)</f>
        <v/>
      </c>
      <c r="H33" s="113">
        <f>IF(LEFT(J33,1)="✘",_ctl!D7,"Un montant en € (formule avec TauxTVA)")</f>
        <v/>
      </c>
      <c r="I33" s="1" t="n"/>
      <c r="J33" s="114">
        <f>_ctl!C7</f>
        <v/>
      </c>
      <c r="K33" s="1" t="n"/>
      <c r="L33" s="115" t="inlineStr">
        <is>
          <t>▾ Indice</t>
        </is>
      </c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6" customHeight="1"/>
    <row r="36" ht="26" customHeight="1">
      <c r="A36" s="1" t="n"/>
      <c r="B36" s="87" t="inlineStr">
        <is>
          <t>SCORE DU DÉFI</t>
        </is>
      </c>
      <c r="C36" s="1" t="n"/>
      <c r="D36" s="1" t="n"/>
      <c r="E36" s="1" t="n"/>
      <c r="F36" s="1" t="n"/>
      <c r="G36" s="1" t="n"/>
      <c r="H36" s="1" t="n"/>
      <c r="I36" s="1" t="n"/>
      <c r="J36" s="118">
        <f>MAX(0,COUNTIF(J28:J34,"✔")-COUNTIF(L28:L34,"Voir"))</f>
        <v/>
      </c>
      <c r="K36" s="1" t="n"/>
      <c r="L36" s="1" t="n"/>
      <c r="M36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">
    <mergeCell ref="B36:H36"/>
    <mergeCell ref="C25:H25"/>
    <mergeCell ref="C31:F31"/>
    <mergeCell ref="B2:F2"/>
    <mergeCell ref="G2:H2"/>
    <mergeCell ref="B4:H4"/>
    <mergeCell ref="B11:F11"/>
    <mergeCell ref="C9:H9"/>
    <mergeCell ref="C29:F29"/>
    <mergeCell ref="C30:F30"/>
    <mergeCell ref="C33:F33"/>
    <mergeCell ref="B7:H7"/>
    <mergeCell ref="C32:F32"/>
    <mergeCell ref="C27:F27"/>
    <mergeCell ref="B3:H3"/>
    <mergeCell ref="B5:H5"/>
    <mergeCell ref="C28:F28"/>
  </mergeCells>
  <conditionalFormatting sqref="B25:H25">
    <cfRule type="expression" priority="1" dxfId="2">
      <formula>COUNTIF($L$28:$L$33,"Voir")&gt;0</formula>
    </cfRule>
  </conditionalFormatting>
  <conditionalFormatting sqref="L28:L33">
    <cfRule type="expression" priority="2" dxfId="2">
      <formula>$L28="Voir"</formula>
    </cfRule>
  </conditionalFormatting>
  <conditionalFormatting sqref="B7:H7">
    <cfRule type="expression" priority="3" dxfId="3" stopIfTrue="1">
      <formula>$N$1=0</formula>
    </cfRule>
    <cfRule type="expression" priority="4" dxfId="0">
      <formula>COUNTIF($J$28:$J$34,"✔")=6</formula>
    </cfRule>
  </conditionalFormatting>
  <conditionalFormatting sqref="B28:B34">
    <cfRule type="expression" priority="5" dxfId="0" stopIfTrue="0">
      <formula>$J28="✔"</formula>
    </cfRule>
  </conditionalFormatting>
  <conditionalFormatting sqref="C28:F34">
    <cfRule type="expression" priority="6" dxfId="4">
      <formula>$J28="✔"</formula>
    </cfRule>
  </conditionalFormatting>
  <conditionalFormatting sqref="J28:J34">
    <cfRule type="expression" priority="7" dxfId="5">
      <formula>J28="✔"</formula>
    </cfRule>
    <cfRule type="expression" priority="8" dxfId="6">
      <formula>LEFT(J28,1)="✘"</formula>
    </cfRule>
    <cfRule type="expression" priority="9" dxfId="7">
      <formula>OR(J28="·",J28="🔒")</formula>
    </cfRule>
  </conditionalFormatting>
  <dataValidations count="1">
    <dataValidation sqref="L28 L29 L30 L31 L32 L33" showDropDown="0" showInputMessage="1" showErrorMessage="1" allowBlank="1" promptTitle="Un indice ?" prompt="Clique sur la flèche ▾ et choisis « Voir » : l'indice s'affiche dans le bandeau 💡 en haut du défi (−1 point)." type="list">
      <formula1>"Voir"</formula1>
    </dataValidation>
  </dataValidations>
  <hyperlinks>
    <hyperlink ref="E1" location="'Menu'!A1" display="⌂  Menu"/>
    <hyperlink ref="H1" location="'Bilan'!A1" display="Bilan  →"/>
    <hyperlink ref="G2" location="'D01'!B25" display="Aller aux questions  ↓"/>
    <hyperlink ref="C23" location="'Paramètres'!C7" display="→ Aller à la cellule du taux de TVA (feuille Paramètres)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6" customWidth="1" style="1" min="2" max="2"/>
    <col width="26" customWidth="1" style="1" min="3" max="3"/>
    <col width="12" customWidth="1" style="1" min="4" max="4"/>
    <col width="9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9" customWidth="1" style="1" min="10" max="10"/>
    <col width="16" customWidth="1" style="1" min="11" max="11"/>
    <col width="10" customWidth="1" style="1" min="12" max="12"/>
    <col width="2" customWidth="1" style="1" min="13" max="13"/>
    <col width="9" customWidth="1" style="1" min="14" max="16384"/>
  </cols>
  <sheetData>
    <row r="1" ht="26" customHeight="1">
      <c r="A1" s="65" t="n"/>
      <c r="B1" s="65" t="n"/>
      <c r="C1" s="66" t="inlineStr">
        <is>
          <t>←  Défi 1</t>
        </is>
      </c>
      <c r="D1" s="65" t="n"/>
      <c r="E1" s="66" t="inlineStr">
        <is>
          <t>⌂  Menu</t>
        </is>
      </c>
      <c r="F1" s="65" t="n"/>
      <c r="G1" s="65" t="n"/>
      <c r="H1" s="67" t="inlineStr">
        <is>
          <t>Aide  →</t>
        </is>
      </c>
      <c r="I1" s="65" t="n"/>
      <c r="J1" s="65" t="n"/>
      <c r="K1" s="65" t="n"/>
      <c r="L1" s="65" t="n"/>
      <c r="M1" s="1" t="n"/>
    </row>
    <row r="2">
      <c r="A2" s="1" t="n"/>
      <c r="B2" s="82" t="inlineStr">
        <is>
          <t>BILAN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40" customHeight="1">
      <c r="A3" s="1" t="n"/>
      <c r="B3" s="119">
        <f>"Bilan · "&amp;IF(Menu!D5="","(nom non renseigné)",Menu!D5)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20" t="inlineStr">
        <is>
          <t>SCORE</t>
        </is>
      </c>
      <c r="C5" s="1" t="n"/>
      <c r="D5" s="120" t="inlineStr">
        <is>
          <t>RÉUSSITE</t>
        </is>
      </c>
      <c r="E5" s="1" t="n"/>
      <c r="F5" s="120" t="inlineStr">
        <is>
          <t>GRADE</t>
        </is>
      </c>
      <c r="G5" s="1" t="n"/>
      <c r="H5" s="120" t="inlineStr">
        <is>
          <t>TRAITÉES</t>
        </is>
      </c>
      <c r="I5" s="1" t="n"/>
      <c r="J5" s="1" t="n"/>
      <c r="K5" s="1" t="n"/>
      <c r="L5" s="1" t="n"/>
      <c r="M5" s="1" t="n"/>
    </row>
    <row r="6" ht="36" customHeight="1">
      <c r="A6" s="1" t="n"/>
      <c r="B6" s="121">
        <f>SUM(E9:E9)</f>
        <v/>
      </c>
      <c r="C6" s="1" t="n"/>
      <c r="D6" s="122">
        <f>B6/6</f>
        <v/>
      </c>
      <c r="E6" s="1" t="n"/>
      <c r="F6" s="123">
        <f>IF(D6&gt;=0.8,"Chef de cuisine",IF(D6&gt;=0.5,"Chef de partie","Commis"))</f>
        <v/>
      </c>
      <c r="G6" s="1" t="n"/>
      <c r="H6" s="121">
        <f>ROWS(_ctl!$C$2:$C$7)-COUNTIF(_ctl!$C$2:$C$7,"·")</f>
        <v/>
      </c>
      <c r="I6" s="1" t="n"/>
      <c r="J6" s="1" t="n"/>
      <c r="K6" s="1" t="n"/>
      <c r="L6" s="1" t="n"/>
      <c r="M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75" t="inlineStr">
        <is>
          <t>N°</t>
        </is>
      </c>
      <c r="C8" s="75" t="inlineStr">
        <is>
          <t>Défi</t>
        </is>
      </c>
      <c r="D8" s="75" t="inlineStr">
        <is>
          <t>Bloc</t>
        </is>
      </c>
      <c r="E8" s="75" t="inlineStr">
        <is>
          <t>Score</t>
        </is>
      </c>
      <c r="F8" s="75" t="inlineStr">
        <is>
          <t>Sur</t>
        </is>
      </c>
      <c r="G8" s="75" t="inlineStr">
        <is>
          <t>%</t>
        </is>
      </c>
      <c r="H8" s="75" t="inlineStr">
        <is>
          <t>✘ formule</t>
        </is>
      </c>
      <c r="I8" s="75" t="inlineStr">
        <is>
          <t>✘ valeur</t>
        </is>
      </c>
      <c r="J8" s="75" t="inlineStr">
        <is>
          <t>Pas répondu</t>
        </is>
      </c>
      <c r="K8" s="75" t="inlineStr">
        <is>
          <t>Affichage modifié</t>
        </is>
      </c>
      <c r="L8" s="75" t="inlineStr">
        <is>
          <t>Indices</t>
        </is>
      </c>
      <c r="M8" s="1" t="n"/>
    </row>
    <row r="9">
      <c r="A9" s="1" t="n"/>
      <c r="B9" s="124" t="n">
        <v>1</v>
      </c>
      <c r="C9" s="125" t="inlineStr">
        <is>
          <t>La mise en place</t>
        </is>
      </c>
      <c r="D9" s="126" t="inlineStr">
        <is>
          <t>Bloc A</t>
        </is>
      </c>
      <c r="E9" s="124">
        <f>MAX(0,COUNTIF(_ctl!$C$2:$C$7,"✔")-COUNTIF('D01'!$L$28:$L$33,"Voir"))</f>
        <v/>
      </c>
      <c r="F9" s="124" t="n">
        <v>6</v>
      </c>
      <c r="G9" s="127">
        <f>E9/F9</f>
        <v/>
      </c>
      <c r="H9" s="124">
        <f>COUNTIF(_ctl!$C$2:$C$7,"✘ formule")</f>
        <v/>
      </c>
      <c r="I9" s="124">
        <f>COUNTIF(_ctl!$C$2:$C$7,"✘ valeur")+COUNTIF(_ctl!$C$2:$C$7,"✘")</f>
        <v/>
      </c>
      <c r="J9" s="124">
        <f>COUNTIF(_ctl!$C$2:$C$7,"·")</f>
        <v/>
      </c>
      <c r="K9" s="124">
        <f>IF(TRIM(Menu!$D$5)="",0,SUMPRODUCT(--('D01'!J28:J33&lt;&gt;_ctl!$C$2:$C$7)))</f>
        <v/>
      </c>
      <c r="L9" s="124">
        <f>COUNTIF('D01'!$L$28:$L$33,"Voir")</f>
        <v/>
      </c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24" customHeight="1">
      <c r="A11" s="1" t="n"/>
      <c r="B11" s="128" t="inlineStr">
        <is>
          <t>Édition découverte : le carnet complet ajoute 3 défis et un bonus d'enquête.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22" customHeight="1">
      <c r="A13" s="1" t="n"/>
      <c r="B13" s="120" t="inlineStr">
        <is>
          <t>L'ARDOISE DU JOUR · TON TRAVAIL, AU TABLEAU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28" customHeight="1">
      <c r="A14" s="1" t="n"/>
      <c r="B14" s="129">
        <f>"Le Zinc de Léon · achats du matin · "&amp;IF(TRIM(Menu!$D$5)="","chef",TRIM(Menu!$D$5))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28" customHeight="1">
      <c r="A15" s="1" t="n"/>
      <c r="B15" s="130">
        <f>"Total HT du matin ........ "&amp;IF(_ctl!$C$2="✔",FIXED('D01'!G28,2)&amp;" €","à calculer")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28" customHeight="1">
      <c r="A16" s="1" t="n"/>
      <c r="B16" s="130">
        <f>"Montant moyen par produit ........ "&amp;IF(_ctl!$C$3="✔",FIXED('D01'!G29,2)&amp;" €","à calculer")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28" customHeight="1">
      <c r="A17" s="1" t="n"/>
      <c r="B17" s="130">
        <f>"Plus gros poste ........ "&amp;IF(_ctl!$C$4="✔",FIXED('D01'!G30,2)&amp;" €","à calculer")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28" customHeight="1">
      <c r="A18" s="1" t="n"/>
      <c r="B18" s="130">
        <f>"Total TTC (TauxTVA) ........ "&amp;IF(_ctl!$C$7="✔",FIXED('D01'!G33,2)&amp;" €","à calculer")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8" customHeight="1">
      <c r="A19" s="1" t="n"/>
      <c r="B19" s="131">
        <f>"Camille : "&amp;IF(COUNTIF(_ctl!$C$2:$C$7,"✔")=6,"« Le compte est bon, "&amp;IF(TRIM(Menu!$D$5)="","chef",TRIM(Menu!$D$5))&amp;" ! Bienvenue en cuisine. »","« Continue, "&amp;IF(TRIM(Menu!$D$5)="","chef",TRIM(Menu!$D$5))&amp;" : le service n'est pas fini. »")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22" customHeight="1">
      <c r="A21" s="1" t="n"/>
      <c r="B21" s="120" t="inlineStr">
        <is>
          <t>ET MAINTENANT ?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44" customHeight="1">
      <c r="A22" s="1" t="n"/>
      <c r="B22" s="132" t="inlineStr">
        <is>
          <t>Une question, un souci, la licence  →  Aide</t>
        </is>
      </c>
      <c r="C22" s="70" t="n"/>
      <c r="D22" s="70" t="n"/>
      <c r="E22" s="70" t="n"/>
      <c r="F22" s="70" t="n"/>
      <c r="G22" s="133" t="inlineStr">
        <is>
          <t>Ce carnet t'a plu ? Dis-le autour de toi : il est gratuit, et le carnet complet poursuit l'aventure.</t>
        </is>
      </c>
      <c r="H22" s="1" t="n"/>
      <c r="I22" s="1" t="n"/>
      <c r="J22" s="1" t="n"/>
      <c r="K22" s="1" t="n"/>
      <c r="L22" s="1" t="n"/>
      <c r="M22" s="1" t="n"/>
    </row>
    <row r="23" ht="30" customHeight="1">
      <c r="A23" s="1" t="n"/>
      <c r="B23" s="134" t="inlineStr">
        <is>
          <t>Le carnet complet « Poser les bases » : 4 défis + 1 bonus, RECHERCHEX, un bon de commande réaliste et 28 contrôles. Lien sur la page où tu as récupéré ce carnet.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2">
    <mergeCell ref="B16:L16"/>
    <mergeCell ref="B3:L3"/>
    <mergeCell ref="F6:G6"/>
    <mergeCell ref="B22:F22"/>
    <mergeCell ref="B18:L18"/>
    <mergeCell ref="D6:E6"/>
    <mergeCell ref="H6:I6"/>
    <mergeCell ref="B21:L21"/>
    <mergeCell ref="F5:G5"/>
    <mergeCell ref="B11:L11"/>
    <mergeCell ref="B2:L2"/>
    <mergeCell ref="B14:L14"/>
    <mergeCell ref="B17:L17"/>
    <mergeCell ref="B23:L23"/>
    <mergeCell ref="B13:L13"/>
    <mergeCell ref="G22:L22"/>
    <mergeCell ref="B19:L19"/>
    <mergeCell ref="B6:C6"/>
    <mergeCell ref="B5:C5"/>
    <mergeCell ref="B15:L15"/>
    <mergeCell ref="D5:E5"/>
    <mergeCell ref="H5:I5"/>
  </mergeCells>
  <hyperlinks>
    <hyperlink ref="C1" location="'D01'!A1" display="←  Défi 1"/>
    <hyperlink ref="E1" location="'Menu'!A1" display="⌂  Menu"/>
    <hyperlink ref="H1" location="'Aide'!A1" display="Aide  →"/>
    <hyperlink ref="B22" location="'Aide'!A1" display="Une question, un souci, la licence  →  Aide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6" customWidth="1" style="1" min="2" max="2"/>
    <col width="40" customWidth="1" style="1" min="3" max="3"/>
    <col width="30" customWidth="1" style="1" min="4" max="4"/>
    <col width="26" customWidth="1" style="1" min="5" max="5"/>
    <col width="40" customWidth="1" style="1" min="6" max="6"/>
    <col width="2" customWidth="1" style="1" min="7" max="7"/>
    <col width="9" customWidth="1" style="1" min="8" max="16384"/>
  </cols>
  <sheetData>
    <row r="1" ht="26" customHeight="1">
      <c r="A1" s="65" t="n"/>
      <c r="B1" s="65" t="n"/>
      <c r="C1" s="66" t="inlineStr">
        <is>
          <t>←  Bilan</t>
        </is>
      </c>
      <c r="D1" s="65" t="n"/>
      <c r="E1" s="65" t="n"/>
      <c r="F1" s="67" t="inlineStr">
        <is>
          <t>⌂  Menu</t>
        </is>
      </c>
      <c r="G1" s="65" t="n"/>
    </row>
    <row r="2" ht="26" customHeight="1">
      <c r="A2" s="1" t="n"/>
      <c r="B2" s="82" t="inlineStr">
        <is>
          <t>AIDE &amp; LICENCE</t>
        </is>
      </c>
      <c r="C2" s="1" t="n"/>
      <c r="D2" s="1" t="n"/>
      <c r="E2" s="1" t="n"/>
      <c r="F2" s="1" t="n"/>
      <c r="G2" s="1" t="n"/>
    </row>
    <row r="3" ht="44" customHeight="1">
      <c r="A3" s="1" t="n"/>
      <c r="B3" s="89" t="inlineStr">
        <is>
          <t>Un souci ? Les réponses d'abord</t>
        </is>
      </c>
      <c r="C3" s="1" t="n"/>
      <c r="D3" s="1" t="n"/>
      <c r="E3" s="1" t="n"/>
      <c r="F3" s="1" t="n"/>
      <c r="G3" s="1" t="n"/>
    </row>
    <row r="4" ht="30" customHeight="1">
      <c r="A4" s="1" t="n"/>
      <c r="B4" s="90" t="inlineStr">
        <is>
          <t>Les sept questions que l'on se pose le plus souvent, puis la licence d'utilisation et le moyen de nous écrire.</t>
        </is>
      </c>
      <c r="C4" s="1" t="n"/>
      <c r="D4" s="1" t="n"/>
      <c r="E4" s="1" t="n"/>
      <c r="F4" s="1" t="n"/>
      <c r="G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</row>
    <row r="6" ht="26" customHeight="1">
      <c r="A6" s="1" t="n"/>
      <c r="B6" s="135" t="inlineStr">
        <is>
          <t>?</t>
        </is>
      </c>
      <c r="C6" s="136" t="inlineStr">
        <is>
          <t>Les contrôles restent vides ou affichent une erreur.</t>
        </is>
      </c>
      <c r="D6" s="1" t="n"/>
      <c r="E6" s="1" t="n"/>
      <c r="F6" s="1" t="n"/>
      <c r="G6" s="1" t="n"/>
    </row>
    <row r="7" ht="44" customHeight="1">
      <c r="A7" s="1" t="n"/>
      <c r="B7" s="137" t="n"/>
      <c r="C7" s="138" t="inlineStr">
        <is>
          <t>Excel ouvre souvent les fichiers reçus en mode protégé. Clique sur « Activer la modification » dans le bandeau en haut, puis appuie sur F9 si les contrôles ne se mettent pas à jour.</t>
        </is>
      </c>
      <c r="D7" s="111" t="n"/>
      <c r="E7" s="111" t="n"/>
      <c r="F7" s="111" t="n"/>
      <c r="G7" s="1" t="n"/>
    </row>
    <row r="8" ht="26" customHeight="1">
      <c r="A8" s="1" t="n"/>
      <c r="B8" s="135" t="inlineStr">
        <is>
          <t>?</t>
        </is>
      </c>
      <c r="C8" s="136" t="inlineStr">
        <is>
          <t>Le contrôle affiche « ✘ formule » alors que mon résultat est juste.</t>
        </is>
      </c>
      <c r="D8" s="1" t="n"/>
      <c r="E8" s="1" t="n"/>
      <c r="F8" s="1" t="n"/>
      <c r="G8" s="1" t="n"/>
    </row>
    <row r="9" ht="44" customHeight="1">
      <c r="A9" s="1" t="n"/>
      <c r="B9" s="137" t="n"/>
      <c r="C9" s="138" t="inlineStr">
        <is>
          <t>Tu as tapé le résultat. Le carnet attend une formule, qui commence par = et se recalcule quand les données changent.</t>
        </is>
      </c>
      <c r="D9" s="111" t="n"/>
      <c r="E9" s="111" t="n"/>
      <c r="F9" s="111" t="n"/>
      <c r="G9" s="1" t="n"/>
    </row>
    <row r="10" ht="26" customHeight="1">
      <c r="A10" s="1" t="n"/>
      <c r="B10" s="135" t="inlineStr">
        <is>
          <t>?</t>
        </is>
      </c>
      <c r="C10" s="136" t="inlineStr">
        <is>
          <t>Le contrôle affiche « ✘ valeur ».</t>
        </is>
      </c>
      <c r="D10" s="1" t="n"/>
      <c r="E10" s="1" t="n"/>
      <c r="F10" s="1" t="n"/>
      <c r="G10" s="1" t="n"/>
    </row>
    <row r="11" ht="44" customHeight="1">
      <c r="A11" s="1" t="n"/>
      <c r="B11" s="137" t="n"/>
      <c r="C11" s="138" t="inlineStr">
        <is>
          <t>Lis le message dans la colonne ATTENDU : il décrit l'erreur la plus fréquente. Vérifie aussi la plage (toute la colonne, sans le titre) et les $ des références fixes.</t>
        </is>
      </c>
      <c r="D11" s="111" t="n"/>
      <c r="E11" s="111" t="n"/>
      <c r="F11" s="111" t="n"/>
      <c r="G11" s="1" t="n"/>
    </row>
    <row r="12" ht="26" customHeight="1">
      <c r="A12" s="1" t="n"/>
      <c r="B12" s="135" t="inlineStr">
        <is>
          <t>?</t>
        </is>
      </c>
      <c r="C12" s="136" t="inlineStr">
        <is>
          <t>Mes chiffres ne sont pas les mêmes que ceux d'une autre personne.</t>
        </is>
      </c>
      <c r="D12" s="1" t="n"/>
      <c r="E12" s="1" t="n"/>
      <c r="F12" s="1" t="n"/>
      <c r="G12" s="1" t="n"/>
    </row>
    <row r="13" ht="44" customHeight="1">
      <c r="A13" s="1" t="n"/>
      <c r="B13" s="137" t="n"/>
      <c r="C13" s="138" t="inlineStr">
        <is>
          <t>C'est voulu : les données dépendent du prénom écrit dans le Menu. Si tu changes de prénom, les données changent et tes réponses sont à refaire.</t>
        </is>
      </c>
      <c r="D13" s="111" t="n"/>
      <c r="E13" s="111" t="n"/>
      <c r="F13" s="111" t="n"/>
      <c r="G13" s="1" t="n"/>
    </row>
    <row r="14" ht="26" customHeight="1">
      <c r="A14" s="1" t="n"/>
      <c r="B14" s="135" t="inlineStr">
        <is>
          <t>?</t>
        </is>
      </c>
      <c r="C14" s="136" t="inlineStr">
        <is>
          <t>RECHERCHEX n'est pas reconnue.</t>
        </is>
      </c>
      <c r="D14" s="1" t="n"/>
      <c r="E14" s="1" t="n"/>
      <c r="F14" s="1" t="n"/>
      <c r="G14" s="1" t="n"/>
    </row>
    <row r="15" ht="44" customHeight="1">
      <c r="A15" s="1" t="n"/>
      <c r="B15" s="137" t="n"/>
      <c r="C15" s="138" t="inlineStr">
        <is>
          <t>Elle existe dans Excel 2021, 2024 et Microsoft 365. Excel 2019 et les versions plus anciennes ne la connaissent pas.</t>
        </is>
      </c>
      <c r="D15" s="111" t="n"/>
      <c r="E15" s="111" t="n"/>
      <c r="F15" s="111" t="n"/>
      <c r="G15" s="1" t="n"/>
    </row>
    <row r="16" ht="26" customHeight="1">
      <c r="A16" s="1" t="n"/>
      <c r="B16" s="135" t="inlineStr">
        <is>
          <t>?</t>
        </is>
      </c>
      <c r="C16" s="136" t="inlineStr">
        <is>
          <t>Je veux recommencer un défi.</t>
        </is>
      </c>
      <c r="D16" s="1" t="n"/>
      <c r="E16" s="1" t="n"/>
      <c r="F16" s="1" t="n"/>
      <c r="G16" s="1" t="n"/>
    </row>
    <row r="17" ht="44" customHeight="1">
      <c r="A17" s="1" t="n"/>
      <c r="B17" s="137" t="n"/>
      <c r="C17" s="138" t="inlineStr">
        <is>
          <t>Efface le contenu des cases à bordure verte : les contrôles repartent de zéro. Remets aussi les cases Indice sur « ▾ Indice ».</t>
        </is>
      </c>
      <c r="D17" s="111" t="n"/>
      <c r="E17" s="111" t="n"/>
      <c r="F17" s="111" t="n"/>
      <c r="G17" s="1" t="n"/>
    </row>
    <row r="18" ht="26" customHeight="1">
      <c r="A18" s="1" t="n"/>
      <c r="B18" s="135" t="inlineStr">
        <is>
          <t>?</t>
        </is>
      </c>
      <c r="C18" s="136" t="inlineStr">
        <is>
          <t>Je ne peux pas modifier une cellule.</t>
        </is>
      </c>
      <c r="D18" s="1" t="n"/>
      <c r="E18" s="1" t="n"/>
      <c r="F18" s="1" t="n"/>
      <c r="G18" s="1" t="n"/>
    </row>
    <row r="19" ht="44" customHeight="1">
      <c r="A19" s="1" t="n"/>
      <c r="B19" s="137" t="n"/>
      <c r="C19" s="138" t="inlineStr">
        <is>
          <t>Seules les cases à bordure verte, les cases Indice et ton prénom sont modifiables. Le reste est protégé pour que le carnet ne se casse pas.</t>
        </is>
      </c>
      <c r="D19" s="111" t="n"/>
      <c r="E19" s="111" t="n"/>
      <c r="F19" s="111" t="n"/>
      <c r="G19" s="1" t="n"/>
    </row>
    <row r="20" ht="10" customHeight="1">
      <c r="A20" s="1" t="n"/>
      <c r="B20" s="1" t="n"/>
      <c r="C20" s="1" t="n"/>
      <c r="D20" s="1" t="n"/>
      <c r="E20" s="1" t="n"/>
      <c r="F20" s="1" t="n"/>
      <c r="G20" s="1" t="n"/>
    </row>
    <row r="21" ht="22" customHeight="1">
      <c r="A21" s="1" t="n"/>
      <c r="B21" s="120" t="inlineStr">
        <is>
          <t>LICENCE D'UTILISATION</t>
        </is>
      </c>
      <c r="C21" s="1" t="n"/>
      <c r="D21" s="1" t="n"/>
      <c r="E21" s="1" t="n"/>
      <c r="F21" s="1" t="n"/>
      <c r="G21" s="1" t="n"/>
    </row>
    <row r="22" ht="28" customHeight="1">
      <c r="A22" s="1" t="n"/>
      <c r="B22" s="136">
        <f>"Licence individuelle · licencié à : "&amp;IF(TRIM(Menu!$D$5)="","(écris ton prénom dans le Menu)",TRIM(Menu!$D$5))</f>
        <v/>
      </c>
      <c r="C22" s="1" t="n"/>
      <c r="D22" s="1" t="n"/>
      <c r="E22" s="1" t="n"/>
      <c r="F22" s="1" t="n"/>
      <c r="G22" s="1" t="n"/>
    </row>
    <row r="23" ht="42" customHeight="1">
      <c r="A23" s="1" t="n"/>
      <c r="B23" s="139" t="inlineStr">
        <is>
          <t>Ce carnet est à ton usage personnel. Merci de ne pas le partager ni le revendre : un carnet acheté fait vivre le prochain. © Joffrey Gros · XcelUrself.</t>
        </is>
      </c>
      <c r="C23" s="1" t="n"/>
      <c r="D23" s="1" t="n"/>
      <c r="E23" s="1" t="n"/>
      <c r="F23" s="1" t="n"/>
      <c r="G23" s="1" t="n"/>
    </row>
    <row r="24" ht="22" customHeight="1">
      <c r="A24" s="1" t="n"/>
      <c r="B24" s="120" t="inlineStr">
        <is>
          <t>UNE QUESTION, UN BUG, UNE IDÉE ?</t>
        </is>
      </c>
      <c r="C24" s="1" t="n"/>
      <c r="D24" s="1" t="n"/>
      <c r="E24" s="1" t="n"/>
      <c r="F24" s="1" t="n"/>
      <c r="G24" s="1" t="n"/>
    </row>
    <row r="25" ht="44" customHeight="1">
      <c r="A25" s="1" t="n"/>
      <c r="B25" s="140" t="inlineStr">
        <is>
          <t>Écris à mr.grosj@gmail.com (clique ici) : dis quel défi, quelle question, et ce que tu vois à l'écran (une capture aide beaucoup).</t>
        </is>
      </c>
      <c r="C25" s="70" t="n"/>
      <c r="D25" s="70" t="n"/>
      <c r="E25" s="70" t="n"/>
      <c r="F25" s="70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2">
    <mergeCell ref="B4:F4"/>
    <mergeCell ref="C17:F17"/>
    <mergeCell ref="C8:F8"/>
    <mergeCell ref="B25:F25"/>
    <mergeCell ref="B3:F3"/>
    <mergeCell ref="C7:F7"/>
    <mergeCell ref="B22:F22"/>
    <mergeCell ref="C19:F19"/>
    <mergeCell ref="C13:F13"/>
    <mergeCell ref="B21:F21"/>
    <mergeCell ref="C18:F18"/>
    <mergeCell ref="B2:F2"/>
    <mergeCell ref="C6:F6"/>
    <mergeCell ref="C15:F15"/>
    <mergeCell ref="B23:F23"/>
    <mergeCell ref="C14:F14"/>
    <mergeCell ref="C16:F16"/>
    <mergeCell ref="C10:F10"/>
    <mergeCell ref="C9:F9"/>
    <mergeCell ref="B24:F24"/>
    <mergeCell ref="C12:F12"/>
    <mergeCell ref="C11:F11"/>
  </mergeCells>
  <hyperlinks>
    <hyperlink ref="C1" location="'Bilan'!A1" display="←  Bilan"/>
    <hyperlink ref="F1" location="'Menu'!A1" display="⌂  Menu"/>
    <hyperlink xmlns:r="http://schemas.openxmlformats.org/officeDocument/2006/relationships" ref="B25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34" customWidth="1" style="1" min="2" max="2"/>
    <col width="16" customWidth="1" style="1" min="3" max="3"/>
    <col width="30" customWidth="1" style="1" min="4" max="4"/>
    <col width="20" customWidth="1" style="1" min="5" max="5"/>
    <col width="2" customWidth="1" style="1" min="6" max="6"/>
    <col width="9" customWidth="1" style="1" min="7" max="16384"/>
  </cols>
  <sheetData>
    <row r="1" ht="26" customHeight="1">
      <c r="A1" s="65" t="n"/>
      <c r="B1" s="66" t="inlineStr">
        <is>
          <t>←  Défi 1</t>
        </is>
      </c>
      <c r="C1" s="65" t="n"/>
      <c r="D1" s="66" t="inlineStr">
        <is>
          <t>⌂  Menu</t>
        </is>
      </c>
      <c r="E1" s="65" t="n"/>
      <c r="F1" s="65" t="n"/>
    </row>
    <row r="2" ht="26" customHeight="1">
      <c r="A2" s="1" t="n"/>
      <c r="B2" s="87" t="inlineStr">
        <is>
          <t>PARAMÈTRES · LE TIROIR DE CAMILLE</t>
        </is>
      </c>
      <c r="C2" s="1" t="n"/>
      <c r="D2" s="1" t="n"/>
      <c r="E2" s="1" t="n"/>
      <c r="F2" s="1" t="n"/>
    </row>
    <row r="3" ht="44" customHeight="1">
      <c r="A3" s="1" t="n"/>
      <c r="B3" s="89" t="inlineStr">
        <is>
          <t>Les paramètres</t>
        </is>
      </c>
      <c r="C3" s="1" t="n"/>
      <c r="D3" s="1" t="n"/>
      <c r="E3" s="1" t="n"/>
      <c r="F3" s="1" t="n"/>
    </row>
    <row r="4" ht="46" customHeight="1">
      <c r="A4" s="1" t="n"/>
      <c r="B4" s="90" t="inlineStr">
        <is>
          <t>Un taux, un seuil : on le range dans une cellule, puis on lui donne un nom. Cette feuille n'est pas protégée, pour que tu puisses nommer la cellule du taux de TVA (défi 1, question 5).</t>
        </is>
      </c>
      <c r="C4" s="1" t="n"/>
      <c r="D4" s="1" t="n"/>
      <c r="E4" s="1" t="n"/>
      <c r="F4" s="1" t="n"/>
    </row>
    <row r="5" ht="10" customHeight="1">
      <c r="A5" s="1" t="n"/>
      <c r="B5" s="1" t="n"/>
      <c r="C5" s="1" t="n"/>
      <c r="D5" s="1" t="n"/>
      <c r="E5" s="1" t="n"/>
      <c r="F5" s="1" t="n"/>
    </row>
    <row r="6">
      <c r="A6" s="1" t="n"/>
      <c r="B6" s="109" t="inlineStr">
        <is>
          <t>PARAMÈTRE</t>
        </is>
      </c>
      <c r="C6" s="108" t="inlineStr">
        <is>
          <t>VALEUR</t>
        </is>
      </c>
      <c r="D6" s="108" t="inlineStr">
        <is>
          <t>NOM À LUI DONNER</t>
        </is>
      </c>
      <c r="E6" s="1" t="n"/>
      <c r="F6" s="1" t="n"/>
    </row>
    <row r="7" ht="34" customHeight="1">
      <c r="A7" s="1" t="n"/>
      <c r="B7" s="110" t="inlineStr">
        <is>
          <t>TVA applicable (denrées)</t>
        </is>
      </c>
      <c r="C7" s="141" t="n">
        <v>0.055</v>
      </c>
      <c r="D7" s="142" t="inlineStr">
        <is>
          <t>TauxTVA   (zone Nom, puis Entrée)</t>
        </is>
      </c>
      <c r="E7" s="143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44" t="inlineStr">
        <is>
          <t>Une fois le nom créé, retourne au défi 1 : tu peux l'utiliser dans tes formules.</t>
        </is>
      </c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</sheetData>
  <mergeCells count="6">
    <mergeCell ref="D6:E6"/>
    <mergeCell ref="B9:E9"/>
    <mergeCell ref="D7:E7"/>
    <mergeCell ref="B4:E4"/>
    <mergeCell ref="B3:E3"/>
    <mergeCell ref="B2:E2"/>
  </mergeCells>
  <hyperlinks>
    <hyperlink ref="B1" location="'D01'!A1" display="←  Défi 1"/>
    <hyperlink ref="D1" location="'Menu'!A1" display="⌂  Menu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D01</t>
        </is>
      </c>
      <c r="B2" t="n">
        <v>1</v>
      </c>
      <c r="C2">
        <f>IFERROR(IF('D01'!G28="","·",IF(AND(ISNUMBER('D01'!G28),ABS('D01'!G28-SUMPRODUCT(ROUND('D01'!$D$13:$D$20*'D01'!$E$13:$E$20,2)))&lt;=0.01),IF(AND(_xlfn.ISFORMULA('D01'!G28),IFERROR(OR(ISNUMBER(SEARCH("F13",_xlfn.FORMULATEXT('D01'!G28))),ISNUMBER(SEARCH("F$13",_xlfn.FORMULATEXT('D01'!G28))),ISNUMBER(SEARCH("Achats[",_xlfn.FORMULATEXT('D01'!G28)))),FALSE)),"✔","✘ formule"),"✘ valeur")),"✘ valeur")</f>
        <v/>
      </c>
      <c r="D2">
        <f>IFERROR(IF(C2="✘ formule","Bon résultat, mais tapé à la main : écris une formule (et le nom TauxTVA pour le TTC).",IF(C2="✘ valeur",IF(ABS('D01'!G28-(SUM('D01'!$D$13:$D$20)))&lt;0.01,"Tu as additionné les quantités. Il faut la colonne Montant HT.",IF(ABS('D01'!G28-(SUMPRODUCT(ROUND('D01'!$D$13:$D$20*'D01'!$E$13:$E$20,2))*(1+0.055)))&lt;0.01,"Tu as déjà ajouté la TVA. Ici on veut le total HT.",IF(ABS('D01'!G28-(AVERAGE('D01'!$F$13:$F$20)))&lt;0.01,"Tu as calculé une moyenne. On attend la somme.","Vérifie la plage : toute la colonne, sans la ligne de titre."))),"")),"")</f>
        <v/>
      </c>
    </row>
    <row r="3">
      <c r="A3" t="inlineStr">
        <is>
          <t>D01</t>
        </is>
      </c>
      <c r="B3" t="n">
        <v>2</v>
      </c>
      <c r="C3">
        <f>IFERROR(IF('D01'!G29="","·",IF(AND(ISNUMBER('D01'!G29),ABS('D01'!G29-(SUMPRODUCT(ROUND('D01'!$D$13:$D$20*'D01'!$E$13:$E$20,2))/ROWS('D01'!$F$13:$F$20)))&lt;=0.01),IF(AND(_xlfn.ISFORMULA('D01'!G29),IFERROR(OR(ISNUMBER(SEARCH("F13",_xlfn.FORMULATEXT('D01'!G29))),ISNUMBER(SEARCH("F$13",_xlfn.FORMULATEXT('D01'!G29))),ISNUMBER(SEARCH("Achats[",_xlfn.FORMULATEXT('D01'!G29)))),FALSE)),"✔","✘ formule"),"✘ valeur")),"✘ valeur")</f>
        <v/>
      </c>
      <c r="D3">
        <f>IFERROR(IF(C3="✘ formule","Bon résultat, mais tapé à la main : écris une formule (et le nom TauxTVA pour le TTC).",IF(C3="✘ valeur",IF(ABS('D01'!G29-(SUMPRODUCT(ROUND('D01'!$D$13:$D$20*'D01'!$E$13:$E$20,2))))&lt;0.01,"Tu as donné la somme. On attend la moyenne.",IF(ABS('D01'!G29-(MAX('D01'!$F$13:$F$20)))&lt;0.01,"Tu as donné le maximum. On attend la moyenne.","Vérifie la plage : toute la colonne, sans la ligne de titre.")),"")),"")</f>
        <v/>
      </c>
    </row>
    <row r="4">
      <c r="A4" t="inlineStr">
        <is>
          <t>D01</t>
        </is>
      </c>
      <c r="B4" t="n">
        <v>3</v>
      </c>
      <c r="C4">
        <f>IFERROR(IF('D01'!G30="","·",IF(AND(ISNUMBER('D01'!G30),ABS('D01'!G30-MAX('D01'!$F$13:$F$20))&lt;=0.01),IF(AND(_xlfn.ISFORMULA('D01'!G30),IFERROR(OR(ISNUMBER(SEARCH("F13",_xlfn.FORMULATEXT('D01'!G30))),ISNUMBER(SEARCH("F$13",_xlfn.FORMULATEXT('D01'!G30))),ISNUMBER(SEARCH("Achats[",_xlfn.FORMULATEXT('D01'!G30)))),FALSE)),"✔","✘ formule"),"✘ valeur")),"✘ valeur")</f>
        <v/>
      </c>
      <c r="D4">
        <f>IFERROR(IF(C4="✘ formule","Bon résultat, mais tapé à la main : écris une formule (et le nom TauxTVA pour le TTC).",IF(C4="✘ valeur",IF(ABS('D01'!G30-(MIN('D01'!$F$13:$F$20)))&lt;0.01,"Tu as donné le minimum. On attend le maximum.",IF(ABS('D01'!G30-(SUMPRODUCT(ROUND('D01'!$D$13:$D$20*'D01'!$E$13:$E$20,2))))&lt;0.01,"Tu as donné la somme. On attend le plus grand montant.","Vérifie la plage : toute la colonne, sans la ligne de titre.")),"")),"")</f>
        <v/>
      </c>
    </row>
    <row r="5">
      <c r="A5" t="inlineStr">
        <is>
          <t>D01</t>
        </is>
      </c>
      <c r="B5" t="n">
        <v>4</v>
      </c>
      <c r="C5">
        <f>IFERROR(IF('D01'!G31="","·",IF(AND(ISNUMBER('D01'!G31),ABS('D01'!G31-ROWS('D01'!$F$13:$F$20))&lt;=0.01),IF(AND(_xlfn.ISFORMULA('D01'!G31),IFERROR(OR(ISNUMBER(SEARCH("(",_xlfn.FORMULATEXT('D01'!G31)))),FALSE)),"✔","✘ formule"),"✘ valeur")),"✘ valeur")</f>
        <v/>
      </c>
      <c r="D5">
        <f>IFERROR(IF(C5="✘ formule","Bon résultat, mais tapé à la main : écris une formule (et le nom TauxTVA pour le TTC).",IF(C5="✘ valeur",IF(ABS('D01'!G31-(ROWS('D01'!$F$13:$F$20)+1))&lt;0.01,"Tu as compté le titre aussi. NB ignore le texte, pas NBVAL.",IF(ABS('D01'!G31-(SUMPRODUCT(ROUND('D01'!$D$13:$D$20*'D01'!$E$13:$E$20,2))))&lt;0.01,"Tu as additionné. Il faut compter les lignes.","Vérifie la plage : toute la colonne, sans la ligne de titre.")),"")),"")</f>
        <v/>
      </c>
    </row>
    <row r="6">
      <c r="A6" t="inlineStr">
        <is>
          <t>D01</t>
        </is>
      </c>
      <c r="B6" t="n">
        <v>5</v>
      </c>
      <c r="C6">
        <f>IFERROR(IF(AND(ROW(INDIRECT("TauxTVA"))=ROW('Paramètres'!$C$7),COLUMN(INDIRECT("TauxTVA"))=COLUMN('Paramètres'!$C$7)),"✔","✘ valeur"),"·")</f>
        <v/>
      </c>
      <c r="D6">
        <f>IFERROR(IF(C6="✘ formule","Bon résultat, mais tapé à la main : écris une formule (et le nom TauxTVA pour le TTC).",IF(C6="✘ valeur","Le nom existe mais ne pointe pas sur la cellule de TVA (colonne D).","")),"")</f>
        <v/>
      </c>
    </row>
    <row r="7">
      <c r="A7" t="inlineStr">
        <is>
          <t>D01</t>
        </is>
      </c>
      <c r="B7" t="n">
        <v>6</v>
      </c>
      <c r="C7">
        <f>IFERROR(IF('D01'!G33="","·",IF(AND(ISNUMBER('D01'!G33),ABS('D01'!G33-(SUMPRODUCT(ROUND('D01'!$D$13:$D$20*'D01'!$E$13:$E$20,2))*(1+'Paramètres'!$C$7)))&lt;=0.01),IF(AND(_xlfn.ISFORMULA('D01'!G33),IFERROR(OR(ISNUMBER(SEARCH("TauxTVA",_xlfn.FORMULATEXT('D01'!G33)))),FALSE)),"✔","✘ formule"),"✘ valeur")),"✘ valeur")</f>
        <v/>
      </c>
      <c r="D7">
        <f>IFERROR(IF(C7="✘ formule","Bon résultat, mais tapé à la main : écris une formule (et le nom TauxTVA pour le TTC).",IF(C7="✘ valeur",IF(ABS('D01'!G33-(SUMPRODUCT(ROUND('D01'!$D$13:$D$20*'D01'!$E$13:$E$20,2))*0.055))&lt;0.01,"Tu as calculé la TVA seule. Il faut le total TTC : HT + TVA.",IF(ABS('D01'!G33-(SUMPRODUCT(ROUND('D01'!$D$13:$D$20*'D01'!$E$13:$E$20,2))*(1+0.055*100)))&lt;0.01,"Tu as mis 5,5 au lieu de 0,055. Un taux en % vaut un centième.",IF(ABS('D01'!G33-(SUMPRODUCT(ROUND('D01'!$D$13:$D$20*'D01'!$E$13:$E$20,2))))&lt;0.01,"Tu as oublié d'ajouter la TVA.","Vérifie la plage : toute la colonne, sans la ligne de titre."))),"")),"")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Z1">
        <f>IFERROR(MOD(SUMPRODUCT(_xlfn.UNICODE(MID(TRIM(Menu!$D$5),ROW(INDIRECT("1:"&amp;LEN(TRIM(Menu!$D$5)))),1))*ROW(INDIRECT("1:"&amp;LEN(TRIM(Menu!$D$5))))),99991),0)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Joffrey Gros – XcelUrself</dc:creator>
  <dc:title xmlns:dc="http://purl.org/dc/elements/1.1/">Excel · Découverte gratuite</dc:title>
  <dcterms:created xmlns:dcterms="http://purl.org/dc/terms/" xmlns:xsi="http://www.w3.org/2001/XMLSchema-instance" xsi:type="dcterms:W3CDTF">2026-10-21T08:02:11Z</dcterms:created>
  <dcterms:modified xmlns:dcterms="http://purl.org/dc/terms/" xmlns:xsi="http://www.w3.org/2001/XMLSchema-instance" xsi:type="dcterms:W3CDTF">2026-10-21T08:02:11Z</dcterms:modified>
  <cp:lastModifiedBy>Joffrey Gros – XcelUrself</cp:lastModifiedBy>
</cp:coreProperties>
</file>